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e\Desktop\r\"/>
    </mc:Choice>
  </mc:AlternateContent>
  <bookViews>
    <workbookView xWindow="0" yWindow="0" windowWidth="21570" windowHeight="7950"/>
  </bookViews>
  <sheets>
    <sheet name="Table1_ppt용" sheetId="6" r:id="rId1"/>
    <sheet name="Table1_시각화 분석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<sst xmlns="http://schemas.openxmlformats.org/spreadsheetml/2006/main" count="671" uniqueCount="438">
  <si>
    <t>카테고리</t>
    <phoneticPr fontId="2" type="noConversion"/>
  </si>
  <si>
    <t>&lt;25</t>
    <phoneticPr fontId="2" type="noConversion"/>
  </si>
  <si>
    <t>120(20%)</t>
    <phoneticPr fontId="2" type="noConversion"/>
  </si>
  <si>
    <t>25-30</t>
    <phoneticPr fontId="2" type="noConversion"/>
  </si>
  <si>
    <t>258(43.1%)</t>
    <phoneticPr fontId="2" type="noConversion"/>
  </si>
  <si>
    <t>&gt;30</t>
    <phoneticPr fontId="2" type="noConversion"/>
  </si>
  <si>
    <t>221(36.9%)</t>
    <phoneticPr fontId="2" type="noConversion"/>
  </si>
  <si>
    <t>384(64.1%)</t>
    <phoneticPr fontId="2" type="noConversion"/>
  </si>
  <si>
    <t>기타</t>
  </si>
  <si>
    <t>215(35.9%)</t>
    <phoneticPr fontId="2" type="noConversion"/>
  </si>
  <si>
    <t>킨족</t>
  </si>
  <si>
    <t>&lt; High school</t>
    <phoneticPr fontId="2" type="noConversion"/>
  </si>
  <si>
    <t>369(61.6%)</t>
    <phoneticPr fontId="2" type="noConversion"/>
  </si>
  <si>
    <t>&gt; High school</t>
    <phoneticPr fontId="2" type="noConversion"/>
  </si>
  <si>
    <t>230(38.4%)</t>
    <phoneticPr fontId="2" type="noConversion"/>
  </si>
  <si>
    <t>전업주부</t>
  </si>
  <si>
    <t>142(23.7%)</t>
    <phoneticPr fontId="2" type="noConversion"/>
  </si>
  <si>
    <r>
      <t>블루칼라</t>
    </r>
    <r>
      <rPr>
        <sz val="11"/>
        <color rgb="FF0A0A0A"/>
        <rFont val="Arial"/>
        <family val="2"/>
      </rPr>
      <t/>
    </r>
  </si>
  <si>
    <t>135(22.5%)</t>
    <phoneticPr fontId="2" type="noConversion"/>
  </si>
  <si>
    <t>화이트칼라</t>
  </si>
  <si>
    <t>182(30.4%)</t>
    <phoneticPr fontId="2" type="noConversion"/>
  </si>
  <si>
    <t>사업가</t>
  </si>
  <si>
    <t>71(11.9%)</t>
    <phoneticPr fontId="2" type="noConversion"/>
  </si>
  <si>
    <t>프리랜서</t>
  </si>
  <si>
    <t>69(11.5%)</t>
    <phoneticPr fontId="2" type="noConversion"/>
  </si>
  <si>
    <t>No</t>
  </si>
  <si>
    <t>52(8.7%)</t>
    <phoneticPr fontId="2" type="noConversion"/>
  </si>
  <si>
    <t>Yes</t>
  </si>
  <si>
    <t>547(91.3%)</t>
    <phoneticPr fontId="2" type="noConversion"/>
  </si>
  <si>
    <t>Height</t>
  </si>
  <si>
    <t>Weight</t>
  </si>
  <si>
    <t>&lt;25</t>
    <phoneticPr fontId="2" type="noConversion"/>
  </si>
  <si>
    <t>204(34.1%)</t>
    <phoneticPr fontId="2" type="noConversion"/>
  </si>
  <si>
    <t>&gt;=25</t>
    <phoneticPr fontId="2" type="noConversion"/>
  </si>
  <si>
    <t>395(65.9%)</t>
    <phoneticPr fontId="2" type="noConversion"/>
  </si>
  <si>
    <t>미출산</t>
  </si>
  <si>
    <t xml:space="preserve">Deep perineal laceration in previous delivery </t>
  </si>
  <si>
    <t>164(27.4%)</t>
    <phoneticPr fontId="2" type="noConversion"/>
  </si>
  <si>
    <t>6(1%)</t>
    <phoneticPr fontId="2" type="noConversion"/>
  </si>
  <si>
    <t>nan</t>
  </si>
  <si>
    <t>429(71.6%)</t>
    <phoneticPr fontId="2" type="noConversion"/>
  </si>
  <si>
    <t>Infection of the perineal suture (swelling, heat, redness, pain) in previous delivery</t>
  </si>
  <si>
    <t>161 (26.9%)</t>
  </si>
  <si>
    <t>9 (1.5%)</t>
  </si>
  <si>
    <t>429 (71.6%)</t>
  </si>
  <si>
    <t>Complications in previous birth (PPH, baby suffocation)</t>
  </si>
  <si>
    <t>162 (27.0%)</t>
  </si>
  <si>
    <t>8 (1.3%)</t>
  </si>
  <si>
    <t>130 (21.7%)</t>
  </si>
  <si>
    <t>40 (6.7%)</t>
  </si>
  <si>
    <t>111 (18.5%)</t>
  </si>
  <si>
    <t>60 (10.0%)</t>
  </si>
  <si>
    <t>428 (71.5%)</t>
  </si>
  <si>
    <t>433 (72.3%)</t>
  </si>
  <si>
    <t>166 (27.7%)</t>
  </si>
  <si>
    <t>552 (92.2%)</t>
  </si>
  <si>
    <t>47 (7.8%)</t>
  </si>
  <si>
    <t>586 (97.8%)</t>
  </si>
  <si>
    <t>13 (2.2%)</t>
  </si>
  <si>
    <t>&lt;37</t>
    <phoneticPr fontId="2" type="noConversion"/>
  </si>
  <si>
    <t>309(51.6%)</t>
    <phoneticPr fontId="2" type="noConversion"/>
  </si>
  <si>
    <t>37-38</t>
    <phoneticPr fontId="2" type="noConversion"/>
  </si>
  <si>
    <t>146(24.4%)</t>
    <phoneticPr fontId="2" type="noConversion"/>
  </si>
  <si>
    <t>&gt;=39</t>
    <phoneticPr fontId="2" type="noConversion"/>
  </si>
  <si>
    <t>144(24%)</t>
    <phoneticPr fontId="2" type="noConversion"/>
  </si>
  <si>
    <t>&lt;2500</t>
    <phoneticPr fontId="2" type="noConversion"/>
  </si>
  <si>
    <t>112(18.7%)</t>
    <phoneticPr fontId="2" type="noConversion"/>
  </si>
  <si>
    <t>&gt;=2500</t>
    <phoneticPr fontId="2" type="noConversion"/>
  </si>
  <si>
    <t>487(81.3%)</t>
    <phoneticPr fontId="2" type="noConversion"/>
  </si>
  <si>
    <t>517 (86.3%)</t>
  </si>
  <si>
    <t>82 (13.7%)</t>
  </si>
  <si>
    <t>정상</t>
  </si>
  <si>
    <t>466 (77.8%)</t>
  </si>
  <si>
    <t>199 (33.2%)</t>
  </si>
  <si>
    <t>400 (66.8%)</t>
  </si>
  <si>
    <t>375 (62.6%)</t>
  </si>
  <si>
    <t>224 (37.4%)</t>
  </si>
  <si>
    <t>p-value</t>
    <phoneticPr fontId="2" type="noConversion"/>
  </si>
  <si>
    <t>도시</t>
    <phoneticPr fontId="2" type="noConversion"/>
  </si>
  <si>
    <t>SECTION A: 인구통계학적 요인</t>
    <phoneticPr fontId="2" type="noConversion"/>
  </si>
  <si>
    <t>327 (54.6%)</t>
  </si>
  <si>
    <t>기타(화족 등)</t>
    <phoneticPr fontId="2" type="noConversion"/>
  </si>
  <si>
    <t>24(4%)</t>
    <phoneticPr fontId="2" type="noConversion"/>
  </si>
  <si>
    <t>575(96%)</t>
    <phoneticPr fontId="2" type="noConversion"/>
  </si>
  <si>
    <t>92 (76.7%)</t>
  </si>
  <si>
    <t>28 (23.3%)</t>
  </si>
  <si>
    <t>194 (75.2%)</t>
  </si>
  <si>
    <t>64 (24.8%)</t>
  </si>
  <si>
    <t>151 (68.3%)</t>
  </si>
  <si>
    <t>70 (31.7%)</t>
  </si>
  <si>
    <t>285 (74.2%)</t>
  </si>
  <si>
    <t>99 (25.8%)</t>
  </si>
  <si>
    <t>152 (70.7%)</t>
  </si>
  <si>
    <t>63 (29.3%)</t>
  </si>
  <si>
    <t>418 (72.7%)</t>
  </si>
  <si>
    <t>157 (27.3%)</t>
  </si>
  <si>
    <t>19(79.2%)</t>
  </si>
  <si>
    <t>5 (20.8%)</t>
  </si>
  <si>
    <t>170 (73.9%)</t>
  </si>
  <si>
    <t>60 (26.1%)</t>
  </si>
  <si>
    <t>267(72.4%)</t>
  </si>
  <si>
    <t>102(27.6%)</t>
  </si>
  <si>
    <t>100 (70.4%)</t>
  </si>
  <si>
    <t>42 (29.6%)</t>
  </si>
  <si>
    <t>100 (74.1%)</t>
  </si>
  <si>
    <t>35 (25.9%)</t>
  </si>
  <si>
    <t>131 (72.0%)</t>
  </si>
  <si>
    <t>51 (28.0%)</t>
  </si>
  <si>
    <t>54 (76.1%)</t>
  </si>
  <si>
    <t>17 (23.9%)</t>
  </si>
  <si>
    <t>52 (75.4%)</t>
  </si>
  <si>
    <t>17 (24.6%)</t>
  </si>
  <si>
    <t>21 (40.4%)</t>
  </si>
  <si>
    <t>406 (74.2%)</t>
  </si>
  <si>
    <t>141 (25.8%)</t>
  </si>
  <si>
    <t>31 (59.6%)</t>
    <phoneticPr fontId="2" type="noConversion"/>
  </si>
  <si>
    <t>129 (70.1%)</t>
  </si>
  <si>
    <t>55 (29.9%)</t>
  </si>
  <si>
    <t>166 (73.5%)</t>
  </si>
  <si>
    <t>60 (26.5%)</t>
  </si>
  <si>
    <t>142 (75.1%)</t>
  </si>
  <si>
    <t>47 (24.9%)</t>
  </si>
  <si>
    <t>110 (71.0%)</t>
  </si>
  <si>
    <t>45 (29.0%)</t>
  </si>
  <si>
    <t>117 (72.2%)</t>
  </si>
  <si>
    <t>45 (27.8%)</t>
  </si>
  <si>
    <t>101 (75.9%)</t>
  </si>
  <si>
    <t>32 (24.1%)</t>
  </si>
  <si>
    <t>109 (73.2%)</t>
  </si>
  <si>
    <t>40 (26.8%)</t>
  </si>
  <si>
    <t>150 (73.5%)</t>
  </si>
  <si>
    <t>54 (26.5%)</t>
  </si>
  <si>
    <t>287 (72.7%)</t>
  </si>
  <si>
    <t>108 (27.3%)</t>
  </si>
  <si>
    <t>146 (90.7%)</t>
  </si>
  <si>
    <t>15 (9.3%)</t>
  </si>
  <si>
    <t>7 (77.8%)</t>
  </si>
  <si>
    <t>2 (22.2%)</t>
  </si>
  <si>
    <t>284 (66.2%)</t>
  </si>
  <si>
    <t>145 (33.8%)</t>
  </si>
  <si>
    <t>149 (90.9%)</t>
  </si>
  <si>
    <t>15 (9.1%)</t>
  </si>
  <si>
    <t>4 (66.7%)</t>
  </si>
  <si>
    <t>2 (33.3%)</t>
  </si>
  <si>
    <t>148 (91.4%)</t>
  </si>
  <si>
    <t>14 (8.6%)</t>
  </si>
  <si>
    <t>5 (62.5%)</t>
  </si>
  <si>
    <t>3 (37.5%)</t>
  </si>
  <si>
    <t>13 (10.0%)</t>
  </si>
  <si>
    <t>36 (90.0%)</t>
  </si>
  <si>
    <t>4 (10.0%)</t>
  </si>
  <si>
    <t>117 (90.0%)</t>
    <phoneticPr fontId="2" type="noConversion"/>
  </si>
  <si>
    <t>98 (88.3%)</t>
  </si>
  <si>
    <t>13 (11.7%)</t>
  </si>
  <si>
    <t>55 (91.7%)</t>
  </si>
  <si>
    <t>5 (8.3%)</t>
  </si>
  <si>
    <t>284 (66.4%)</t>
  </si>
  <si>
    <t>144 (33.6%)</t>
  </si>
  <si>
    <t>315 (72.7%)</t>
  </si>
  <si>
    <t>118 (27.3%)</t>
  </si>
  <si>
    <t>122 (73.5%)</t>
  </si>
  <si>
    <t>44 (26.5%)</t>
  </si>
  <si>
    <t>405 (73.4%)</t>
  </si>
  <si>
    <t>147 (26.6%)</t>
  </si>
  <si>
    <t>32 (68.1%)</t>
  </si>
  <si>
    <t>15 (31.9%)</t>
  </si>
  <si>
    <t>429 (73.2%)</t>
  </si>
  <si>
    <t>157 (26.8%)</t>
  </si>
  <si>
    <t>8 (61.5%)</t>
  </si>
  <si>
    <t>5 (38.5%)</t>
  </si>
  <si>
    <t>92 (29.8%)</t>
  </si>
  <si>
    <t>112 (76.7%)</t>
  </si>
  <si>
    <t>34 (23.3%)</t>
  </si>
  <si>
    <t>108 (75.0%)</t>
  </si>
  <si>
    <t>36 (25.0%)</t>
  </si>
  <si>
    <t>217 (70.2%)</t>
    <phoneticPr fontId="2" type="noConversion"/>
  </si>
  <si>
    <t>53 (75.7%)</t>
  </si>
  <si>
    <t>17 (24.3%)</t>
  </si>
  <si>
    <t>384 (72.6%)</t>
  </si>
  <si>
    <t>145 (27.4%)</t>
  </si>
  <si>
    <t>378 (73.1%)</t>
  </si>
  <si>
    <t>139 (26.9%)</t>
  </si>
  <si>
    <t>59 (72.0%)</t>
  </si>
  <si>
    <t>23 (28.0%)</t>
  </si>
  <si>
    <t>345 (74.0%)</t>
  </si>
  <si>
    <t>121 (26.0%)</t>
  </si>
  <si>
    <t>92(69.2%)</t>
  </si>
  <si>
    <t>39(29.3%)</t>
  </si>
  <si>
    <t>133(22.2%)</t>
    <phoneticPr fontId="2" type="noConversion"/>
  </si>
  <si>
    <t>비정상</t>
    <phoneticPr fontId="2" type="noConversion"/>
  </si>
  <si>
    <t>265 (81.0%)</t>
  </si>
  <si>
    <t>62 (19.0%)</t>
  </si>
  <si>
    <t>59 (53.2%)</t>
  </si>
  <si>
    <t>52 (46.8%)</t>
  </si>
  <si>
    <t>378 (77.5%)</t>
  </si>
  <si>
    <t>110 (22.5%)</t>
  </si>
  <si>
    <t>137 (68.8%)</t>
  </si>
  <si>
    <t>62 (31.2%)</t>
  </si>
  <si>
    <t>300 (75.0%)</t>
  </si>
  <si>
    <t>100 (25.0%)</t>
  </si>
  <si>
    <t>488 (81.5%)</t>
    <phoneticPr fontId="2" type="noConversion"/>
  </si>
  <si>
    <t>0.0000***</t>
  </si>
  <si>
    <t>0.0000***</t>
    <phoneticPr fontId="2" type="noConversion"/>
  </si>
  <si>
    <t>272(45.4%)</t>
  </si>
  <si>
    <t>172(63.2%)</t>
  </si>
  <si>
    <t>100(36.8%)</t>
  </si>
  <si>
    <t>출산</t>
    <phoneticPr fontId="2" type="noConversion"/>
  </si>
  <si>
    <t>76 (33.9%)</t>
  </si>
  <si>
    <t>148 (66.1%)</t>
  </si>
  <si>
    <t>361 (96.3%)</t>
  </si>
  <si>
    <t>14 (3.7%)</t>
  </si>
  <si>
    <t>occupation
직업</t>
    <phoneticPr fontId="2" type="noConversion"/>
  </si>
  <si>
    <t xml:space="preserve">Total n(100%) </t>
    <phoneticPr fontId="2" type="noConversion"/>
  </si>
  <si>
    <t>Previous Delivery 
이전 출산 방식</t>
    <phoneticPr fontId="2" type="noConversion"/>
  </si>
  <si>
    <t>IVF/IUI
체외수정/인공수정</t>
    <phoneticPr fontId="2" type="noConversion"/>
  </si>
  <si>
    <t>Gestational age 
 임신 주수</t>
    <phoneticPr fontId="2" type="noConversion"/>
  </si>
  <si>
    <t>unanswer</t>
    <phoneticPr fontId="2" type="noConversion"/>
  </si>
  <si>
    <t>unanswer</t>
    <phoneticPr fontId="2" type="noConversion"/>
  </si>
  <si>
    <t>Cesarean section n(%)
 437 (73.0%)</t>
    <phoneticPr fontId="2" type="noConversion"/>
  </si>
  <si>
    <t>Vaginal delivery n(%) 
162 (27.0%)</t>
    <phoneticPr fontId="2" type="noConversion"/>
  </si>
  <si>
    <t>Variables</t>
    <phoneticPr fontId="2" type="noConversion"/>
  </si>
  <si>
    <t>SECTION B: 임상적 요인</t>
    <phoneticPr fontId="2" type="noConversion"/>
  </si>
  <si>
    <t>SECTION C: 심리적요인</t>
    <phoneticPr fontId="2" type="noConversion"/>
  </si>
  <si>
    <t>Age
나이</t>
    <phoneticPr fontId="2" type="noConversion"/>
  </si>
  <si>
    <t>Residence
지역</t>
    <phoneticPr fontId="2" type="noConversion"/>
  </si>
  <si>
    <t>Ethnicity
민족</t>
    <phoneticPr fontId="2" type="noConversion"/>
  </si>
  <si>
    <t xml:space="preserve">Education level
학력
</t>
    <phoneticPr fontId="2" type="noConversion"/>
  </si>
  <si>
    <t xml:space="preserve">health insurance
건강보험 유무
</t>
    <phoneticPr fontId="2" type="noConversion"/>
  </si>
  <si>
    <t>prev prolonged labor
과거 장기 진통 경험 유무</t>
    <phoneticPr fontId="2" type="noConversion"/>
  </si>
  <si>
    <t>prev pain relief
과거 진통 완화 유무</t>
    <phoneticPr fontId="2" type="noConversion"/>
  </si>
  <si>
    <t xml:space="preserve">chronic disease
과거 만성질환 유무
</t>
    <phoneticPr fontId="2" type="noConversion"/>
  </si>
  <si>
    <t xml:space="preserve">anemia 
빈혈 유무
</t>
    <phoneticPr fontId="2" type="noConversion"/>
  </si>
  <si>
    <t>fetal weight est
태아 예상 체중</t>
    <phoneticPr fontId="2" type="noConversion"/>
  </si>
  <si>
    <t>fetus problems 
태아 건강 이상</t>
    <phoneticPr fontId="2" type="noConversion"/>
  </si>
  <si>
    <t>amniotic fluid 
양수량 상태</t>
    <phoneticPr fontId="2" type="noConversion"/>
  </si>
  <si>
    <t>belief healthy pregnancy
임신 건강 상태 추정</t>
    <phoneticPr fontId="2" type="noConversion"/>
  </si>
  <si>
    <t>belief vd ability
자연분만 믿음</t>
    <phoneticPr fontId="2" type="noConversion"/>
  </si>
  <si>
    <t>expect companion 
보호자 동반 기대 유무</t>
    <phoneticPr fontId="2" type="noConversion"/>
  </si>
  <si>
    <t>Bmi
체질량</t>
    <phoneticPr fontId="2" type="noConversion"/>
  </si>
  <si>
    <t xml:space="preserve">0.143
</t>
    <phoneticPr fontId="2" type="noConversion"/>
  </si>
  <si>
    <t>0.035*</t>
    <phoneticPr fontId="2" type="noConversion"/>
  </si>
  <si>
    <t xml:space="preserve">0.404
</t>
    <phoneticPr fontId="2" type="noConversion"/>
  </si>
  <si>
    <t>55 (9.18%)</t>
  </si>
  <si>
    <t>34 (5.68%)</t>
  </si>
  <si>
    <t>125 (20.87%)</t>
  </si>
  <si>
    <t>76 (12.69%)</t>
  </si>
  <si>
    <t>309 (51.59%)</t>
  </si>
  <si>
    <t>6 (10.91%)</t>
  </si>
  <si>
    <t>3 (8.82%)</t>
  </si>
  <si>
    <t>24 (19.2%)</t>
  </si>
  <si>
    <t>15 (19.74%)</t>
  </si>
  <si>
    <t>114 (36.89%)</t>
  </si>
  <si>
    <t>49 (89.09%)</t>
  </si>
  <si>
    <t>31 (91.18%)</t>
  </si>
  <si>
    <t>101 (80.8%)</t>
  </si>
  <si>
    <t>61 (80.26%)</t>
  </si>
  <si>
    <t>195 (63.11%)</t>
  </si>
  <si>
    <t>1 (0.17%)</t>
  </si>
  <si>
    <t>2 (0.33%)</t>
  </si>
  <si>
    <t>5 (0.83%)</t>
  </si>
  <si>
    <t>7 (1.17%)</t>
  </si>
  <si>
    <t>13 (2.17%)</t>
  </si>
  <si>
    <t>18 (3.01%)</t>
  </si>
  <si>
    <t>11 (1.84%)</t>
  </si>
  <si>
    <t>19 (3.17%)</t>
  </si>
  <si>
    <t>38 (6.34%)</t>
  </si>
  <si>
    <t>40 (6.68%)</t>
  </si>
  <si>
    <t>48 (8.01%)</t>
  </si>
  <si>
    <t>46 (7.68%)</t>
  </si>
  <si>
    <t>62 (10.35%)</t>
  </si>
  <si>
    <t>49 (8.18%)</t>
  </si>
  <si>
    <t>60 (10.02%)</t>
  </si>
  <si>
    <t>56 (9.35%)</t>
  </si>
  <si>
    <t>0 (0%)</t>
  </si>
  <si>
    <t>1 (50%)</t>
  </si>
  <si>
    <t>1 (20%)</t>
  </si>
  <si>
    <t>5 (71.43%)</t>
  </si>
  <si>
    <t>3 (23.08%)</t>
  </si>
  <si>
    <t>8 (44.44%)</t>
  </si>
  <si>
    <t>4 (57.14%)</t>
  </si>
  <si>
    <t>6 (54.55%)</t>
  </si>
  <si>
    <t>8 (61.54%)</t>
  </si>
  <si>
    <t>7 (36.84%)</t>
  </si>
  <si>
    <t>12 (31.58%)</t>
  </si>
  <si>
    <t>10 (25%)</t>
  </si>
  <si>
    <t>13 (27.08%)</t>
  </si>
  <si>
    <t>14 (30.43%)</t>
  </si>
  <si>
    <t>14 (22.58%)</t>
  </si>
  <si>
    <t>16 (32.65%)</t>
  </si>
  <si>
    <t>13 (23.64%)</t>
  </si>
  <si>
    <t>11 (18.33%)</t>
  </si>
  <si>
    <t>9 (16.07%)</t>
  </si>
  <si>
    <t>6 (13.04%)</t>
  </si>
  <si>
    <t>1 (100%)</t>
  </si>
  <si>
    <t>4 (80%)</t>
  </si>
  <si>
    <t>2 (28.57%)</t>
  </si>
  <si>
    <t>10 (76.92%)</t>
  </si>
  <si>
    <t>10 (55.56%)</t>
  </si>
  <si>
    <t>3 (42.86%)</t>
  </si>
  <si>
    <t>5 (45.45%)</t>
  </si>
  <si>
    <t>5 (38.46%)</t>
  </si>
  <si>
    <t>12 (63.16%)</t>
  </si>
  <si>
    <t>26 (68.42%)</t>
  </si>
  <si>
    <t>30 (75%)</t>
  </si>
  <si>
    <t>35 (72.92%)</t>
  </si>
  <si>
    <t>32 (69.57%)</t>
  </si>
  <si>
    <t>48 (77.42%)</t>
  </si>
  <si>
    <t>33 (67.35%)</t>
  </si>
  <si>
    <t>42 (76.36%)</t>
  </si>
  <si>
    <t>49 (81.67%)</t>
  </si>
  <si>
    <t>47 (83.93%)</t>
  </si>
  <si>
    <t>40 (86.96%)</t>
  </si>
  <si>
    <t>fear_score_std
표준화된 두려움 점수</t>
    <phoneticPr fontId="2" type="noConversion"/>
  </si>
  <si>
    <t>0.0000***</t>
    <phoneticPr fontId="2" type="noConversion"/>
  </si>
  <si>
    <t>knowledge_score_std
표준화된 분만 지식 점수</t>
    <phoneticPr fontId="2" type="noConversion"/>
  </si>
  <si>
    <t>488 (81.5%)</t>
    <phoneticPr fontId="2" type="noConversion"/>
  </si>
  <si>
    <t>SECTION C: 심리적요인</t>
    <phoneticPr fontId="2" type="noConversion"/>
  </si>
  <si>
    <t>133(22.2%)</t>
    <phoneticPr fontId="2" type="noConversion"/>
  </si>
  <si>
    <t>비정상</t>
    <phoneticPr fontId="2" type="noConversion"/>
  </si>
  <si>
    <t>217 (70.2%)</t>
    <phoneticPr fontId="2" type="noConversion"/>
  </si>
  <si>
    <t>Gestational age 
 임신 주수</t>
    <phoneticPr fontId="2" type="noConversion"/>
  </si>
  <si>
    <t>IVF/IUI
체외수정/인공수정</t>
    <phoneticPr fontId="2" type="noConversion"/>
  </si>
  <si>
    <t>unanswer</t>
    <phoneticPr fontId="2" type="noConversion"/>
  </si>
  <si>
    <t>prev pain relief
과거 진통 완화 유무</t>
    <phoneticPr fontId="2" type="noConversion"/>
  </si>
  <si>
    <t>117 (90.0%)</t>
    <phoneticPr fontId="2" type="noConversion"/>
  </si>
  <si>
    <t>429(71.6%)</t>
    <phoneticPr fontId="2" type="noConversion"/>
  </si>
  <si>
    <t>6(1%)</t>
    <phoneticPr fontId="2" type="noConversion"/>
  </si>
  <si>
    <t>164(27.4%)</t>
    <phoneticPr fontId="2" type="noConversion"/>
  </si>
  <si>
    <t>출산</t>
    <phoneticPr fontId="2" type="noConversion"/>
  </si>
  <si>
    <t>Previous Delivery 
이전 출산 방식</t>
    <phoneticPr fontId="2" type="noConversion"/>
  </si>
  <si>
    <t>&lt;25</t>
    <phoneticPr fontId="2" type="noConversion"/>
  </si>
  <si>
    <t>Bmi
체질량</t>
    <phoneticPr fontId="2" type="noConversion"/>
  </si>
  <si>
    <t>149(24.9%)</t>
    <phoneticPr fontId="2" type="noConversion"/>
  </si>
  <si>
    <t>&gt;=70</t>
    <phoneticPr fontId="2" type="noConversion"/>
  </si>
  <si>
    <t>65-70</t>
    <phoneticPr fontId="2" type="noConversion"/>
  </si>
  <si>
    <t>162(27%)</t>
    <phoneticPr fontId="2" type="noConversion"/>
  </si>
  <si>
    <t>59-65</t>
    <phoneticPr fontId="2" type="noConversion"/>
  </si>
  <si>
    <t>155(25%)</t>
    <phoneticPr fontId="2" type="noConversion"/>
  </si>
  <si>
    <t>46-59</t>
    <phoneticPr fontId="2" type="noConversion"/>
  </si>
  <si>
    <t>189(31.6%)</t>
    <phoneticPr fontId="2" type="noConversion"/>
  </si>
  <si>
    <t>&gt;159</t>
    <phoneticPr fontId="2" type="noConversion"/>
  </si>
  <si>
    <t>266(37.7%)</t>
    <phoneticPr fontId="2" type="noConversion"/>
  </si>
  <si>
    <t>155-159</t>
    <phoneticPr fontId="2" type="noConversion"/>
  </si>
  <si>
    <t>184(30.7%)</t>
    <phoneticPr fontId="2" type="noConversion"/>
  </si>
  <si>
    <t>&lt;155</t>
    <phoneticPr fontId="2" type="noConversion"/>
  </si>
  <si>
    <t>SECTION B: 임상적 요인</t>
    <phoneticPr fontId="2" type="noConversion"/>
  </si>
  <si>
    <t>31 (59.6%)</t>
    <phoneticPr fontId="2" type="noConversion"/>
  </si>
  <si>
    <t>&gt; High school</t>
    <phoneticPr fontId="2" type="noConversion"/>
  </si>
  <si>
    <t>&lt; High school</t>
    <phoneticPr fontId="2" type="noConversion"/>
  </si>
  <si>
    <t xml:space="preserve">Education level
학력
</t>
    <phoneticPr fontId="2" type="noConversion"/>
  </si>
  <si>
    <t>기타(화족 등)</t>
    <phoneticPr fontId="2" type="noConversion"/>
  </si>
  <si>
    <t>Ethnicity
민족</t>
    <phoneticPr fontId="2" type="noConversion"/>
  </si>
  <si>
    <t xml:space="preserve">0.404
</t>
    <phoneticPr fontId="2" type="noConversion"/>
  </si>
  <si>
    <t>도시</t>
    <phoneticPr fontId="2" type="noConversion"/>
  </si>
  <si>
    <t>Residence
지역</t>
    <phoneticPr fontId="2" type="noConversion"/>
  </si>
  <si>
    <t>&gt;30</t>
    <phoneticPr fontId="2" type="noConversion"/>
  </si>
  <si>
    <t>25-30</t>
    <phoneticPr fontId="2" type="noConversion"/>
  </si>
  <si>
    <t xml:space="preserve">0.143
</t>
    <phoneticPr fontId="2" type="noConversion"/>
  </si>
  <si>
    <t>Age
나이</t>
    <phoneticPr fontId="2" type="noConversion"/>
  </si>
  <si>
    <t>SECTION A: 인구통계학적 요인</t>
    <phoneticPr fontId="2" type="noConversion"/>
  </si>
  <si>
    <t>p-value</t>
    <phoneticPr fontId="2" type="noConversion"/>
  </si>
  <si>
    <t>Variables</t>
    <phoneticPr fontId="2" type="noConversion"/>
  </si>
  <si>
    <t>prev prolonged labor
과거 장기 진통 경험 유무</t>
    <phoneticPr fontId="2" type="noConversion"/>
  </si>
  <si>
    <t>*** 0.0000</t>
    <phoneticPr fontId="2" type="noConversion"/>
  </si>
  <si>
    <t>*** 0.0000</t>
    <phoneticPr fontId="2" type="noConversion"/>
  </si>
  <si>
    <t>*** 0.0000</t>
    <phoneticPr fontId="2" type="noConversion"/>
  </si>
  <si>
    <t>* 0.035</t>
    <phoneticPr fontId="2" type="noConversion"/>
  </si>
  <si>
    <t>*** 0.0000</t>
    <phoneticPr fontId="2" type="noConversion"/>
  </si>
  <si>
    <t>*** 0.0000</t>
    <phoneticPr fontId="2" type="noConversion"/>
  </si>
  <si>
    <t>*** 0.0000</t>
    <phoneticPr fontId="2" type="noConversion"/>
  </si>
  <si>
    <t xml:space="preserve">Total n (100%) </t>
    <phoneticPr fontId="2" type="noConversion"/>
  </si>
  <si>
    <t>120 (20%)</t>
    <phoneticPr fontId="2" type="noConversion"/>
  </si>
  <si>
    <t>258 (43.1%)</t>
    <phoneticPr fontId="2" type="noConversion"/>
  </si>
  <si>
    <t>221 (36.9%)</t>
    <phoneticPr fontId="2" type="noConversion"/>
  </si>
  <si>
    <t>384 (64.1%)</t>
    <phoneticPr fontId="2" type="noConversion"/>
  </si>
  <si>
    <t>215 (35.9%)</t>
    <phoneticPr fontId="2" type="noConversion"/>
  </si>
  <si>
    <t>575 (96%)</t>
    <phoneticPr fontId="2" type="noConversion"/>
  </si>
  <si>
    <t>24 (4%)</t>
    <phoneticPr fontId="2" type="noConversion"/>
  </si>
  <si>
    <t>369 (61.6%)</t>
    <phoneticPr fontId="2" type="noConversion"/>
  </si>
  <si>
    <t>230 (38.4%)</t>
    <phoneticPr fontId="2" type="noConversion"/>
  </si>
  <si>
    <t>142 (23.7%)</t>
    <phoneticPr fontId="2" type="noConversion"/>
  </si>
  <si>
    <t>135 (22.5%)</t>
    <phoneticPr fontId="2" type="noConversion"/>
  </si>
  <si>
    <t>182 (30.4%)</t>
    <phoneticPr fontId="2" type="noConversion"/>
  </si>
  <si>
    <t>71 (11.9%)</t>
    <phoneticPr fontId="2" type="noConversion"/>
  </si>
  <si>
    <t>69 (11.5%)</t>
    <phoneticPr fontId="2" type="noConversion"/>
  </si>
  <si>
    <t>52 (8.7%)</t>
    <phoneticPr fontId="2" type="noConversion"/>
  </si>
  <si>
    <t>547 (91.3%)</t>
    <phoneticPr fontId="2" type="noConversion"/>
  </si>
  <si>
    <t>204 (34.1%)</t>
    <phoneticPr fontId="2" type="noConversion"/>
  </si>
  <si>
    <t>395 (65.9%)</t>
    <phoneticPr fontId="2" type="noConversion"/>
  </si>
  <si>
    <t>272 (45.4%)</t>
    <phoneticPr fontId="2" type="noConversion"/>
  </si>
  <si>
    <t xml:space="preserve">Total n (100%) </t>
    <phoneticPr fontId="2" type="noConversion"/>
  </si>
  <si>
    <t>100 (36.8%)</t>
    <phoneticPr fontId="2" type="noConversion"/>
  </si>
  <si>
    <t>172 (63.2%)</t>
    <phoneticPr fontId="2" type="noConversion"/>
  </si>
  <si>
    <t>309 (51.6%)</t>
    <phoneticPr fontId="2" type="noConversion"/>
  </si>
  <si>
    <t>146 (24.4%)</t>
    <phoneticPr fontId="2" type="noConversion"/>
  </si>
  <si>
    <t>144 (24%)</t>
    <phoneticPr fontId="2" type="noConversion"/>
  </si>
  <si>
    <t>112 (18.7%)</t>
    <phoneticPr fontId="2" type="noConversion"/>
  </si>
  <si>
    <t>487 (81.3%)</t>
    <phoneticPr fontId="2" type="noConversion"/>
  </si>
  <si>
    <t>133 (22.2%)</t>
    <phoneticPr fontId="2" type="noConversion"/>
  </si>
  <si>
    <t>92 (69.2%)</t>
    <phoneticPr fontId="2" type="noConversion"/>
  </si>
  <si>
    <t>39 (29.3%)</t>
    <phoneticPr fontId="2" type="noConversion"/>
  </si>
  <si>
    <t>599 (100%)</t>
    <phoneticPr fontId="2" type="noConversion"/>
  </si>
  <si>
    <t>162 (27.05%)</t>
    <phoneticPr fontId="2" type="noConversion"/>
  </si>
  <si>
    <t>437 (72.95%)</t>
    <phoneticPr fontId="2" type="noConversion"/>
  </si>
  <si>
    <t>0.68 ± 0.35</t>
  </si>
  <si>
    <t>0.85 ± 0.26</t>
  </si>
  <si>
    <t>0.80 ± 0.16</t>
  </si>
  <si>
    <t>0.73 ± 0.17</t>
  </si>
  <si>
    <t>Mean ± SD</t>
  </si>
  <si>
    <t>0 - 4</t>
    <phoneticPr fontId="2" type="noConversion"/>
  </si>
  <si>
    <t>Vaginal delivery n (%) 
162 (27.0%)</t>
    <phoneticPr fontId="2" type="noConversion"/>
  </si>
  <si>
    <t>Cesarean section n (%)
 437 (73.0%)</t>
    <phoneticPr fontId="2" type="noConversion"/>
  </si>
  <si>
    <t>Vaginal delivery n (%) 
162 (27.0%)</t>
    <phoneticPr fontId="2" type="noConversion"/>
  </si>
  <si>
    <t>Cesarean section n (%)
 437 (73.0%)</t>
    <phoneticPr fontId="2" type="noConversion"/>
  </si>
  <si>
    <t>&lt; 25</t>
    <phoneticPr fontId="2" type="noConversion"/>
  </si>
  <si>
    <t>&gt;= 25</t>
    <phoneticPr fontId="2" type="noConversion"/>
  </si>
  <si>
    <t>&lt; 37</t>
    <phoneticPr fontId="2" type="noConversion"/>
  </si>
  <si>
    <t>&gt;= 39</t>
    <phoneticPr fontId="2" type="noConversion"/>
  </si>
  <si>
    <t>&lt; 2500</t>
    <phoneticPr fontId="2" type="noConversion"/>
  </si>
  <si>
    <t>&gt;= 2500</t>
    <phoneticPr fontId="2" type="noConversion"/>
  </si>
  <si>
    <t>37 - 38</t>
    <phoneticPr fontId="2" type="noConversion"/>
  </si>
  <si>
    <t>Vaginal delivery n (%) 
162 (27.0%)</t>
    <phoneticPr fontId="2" type="noConversion"/>
  </si>
  <si>
    <t>Cesarean section n (%)
 437 (73.0%)</t>
    <phoneticPr fontId="2" type="noConversion"/>
  </si>
  <si>
    <t>Occupation
직업</t>
    <phoneticPr fontId="2" type="noConversion"/>
  </si>
  <si>
    <t xml:space="preserve">Health insurance
건강보험 유무
</t>
    <phoneticPr fontId="2" type="noConversion"/>
  </si>
  <si>
    <t xml:space="preserve">Chronic disease
과거 만성질환 유무
</t>
    <phoneticPr fontId="2" type="noConversion"/>
  </si>
  <si>
    <t xml:space="preserve">Anemia 
빈혈 유무
</t>
    <phoneticPr fontId="2" type="noConversion"/>
  </si>
  <si>
    <t>Fetal weight est
태아 예상 체중</t>
    <phoneticPr fontId="2" type="noConversion"/>
  </si>
  <si>
    <t>Fetus problems 
태아 건강 이상</t>
    <phoneticPr fontId="2" type="noConversion"/>
  </si>
  <si>
    <t>Amniotic fluid 
양수량 상태</t>
    <phoneticPr fontId="2" type="noConversion"/>
  </si>
  <si>
    <t>Belief healthy pregnancy
임신 건강 상태 추정</t>
    <phoneticPr fontId="2" type="noConversion"/>
  </si>
  <si>
    <t xml:space="preserve">
4 - 30</t>
    <phoneticPr fontId="2" type="noConversion"/>
  </si>
  <si>
    <t>Belief vd ability
자연분만 믿음</t>
    <phoneticPr fontId="2" type="noConversion"/>
  </si>
  <si>
    <t>Expect companion 
보호자 동반 기대 유무</t>
    <phoneticPr fontId="2" type="noConversion"/>
  </si>
  <si>
    <t>Fear score std
표준화된 두려움 점수</t>
    <phoneticPr fontId="2" type="noConversion"/>
  </si>
  <si>
    <t>Knowledge score std
표준화된 분만 지식 점수</t>
    <phoneticPr fontId="2" type="noConversion"/>
  </si>
  <si>
    <t>0.73 ± 0.33</t>
    <phoneticPr fontId="12" type="noConversion"/>
  </si>
  <si>
    <t>0.78 ± 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</si>
</sst>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);[Red]\(0.000\)"/>
    <numFmt numFmtId="177" formatCode="0.000_);\(0.00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A0A0A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바탕"/>
      <family val="1"/>
      <charset val="129"/>
    </font>
    <font>
      <sz val="11"/>
      <color rgb="FF202124"/>
      <name val="바탕"/>
      <family val="1"/>
      <charset val="129"/>
    </font>
    <font>
      <sz val="11"/>
      <color rgb="FF0A0A0A"/>
      <name val="바탕"/>
      <family val="1"/>
      <charset val="129"/>
    </font>
    <font>
      <sz val="11"/>
      <color theme="1"/>
      <name val="맑은 고딕"/>
      <family val="3"/>
      <charset val="129"/>
    </font>
    <font>
      <sz val="11"/>
      <color rgb="FF202124"/>
      <name val="맑은 고딕"/>
      <family val="3"/>
      <charset val="129"/>
    </font>
    <font>
      <sz val="11"/>
      <color rgb="FF0A0A0A"/>
      <name val="맑은 고딕"/>
      <family val="3"/>
      <charset val="129"/>
    </font>
    <font>
      <sz val="11"/>
      <color rgb="FF1D1C1D"/>
      <name val="바탕"/>
      <family val="1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1" fillId="0" borderId="0">
      <alignment vertical="center"/>
    </xf>
  </cellStyleXfs>
  <cellXfs count="17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176" fontId="0" fillId="0" borderId="1" xfId="0" applyNumberFormat="1" applyBorder="1" applyAlignment="1">
      <alignment horizontal="left" vertical="center"/>
    </xf>
    <xf numFmtId="176" fontId="0" fillId="0" borderId="0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1" applyFont="1" applyBorder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176" fontId="0" fillId="0" borderId="10" xfId="0" applyNumberFormat="1" applyBorder="1" applyAlignment="1">
      <alignment horizontal="right" vertical="center"/>
    </xf>
    <xf numFmtId="176" fontId="5" fillId="0" borderId="13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76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1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top" wrapText="1"/>
    </xf>
    <xf numFmtId="10" fontId="8" fillId="0" borderId="1" xfId="0" applyNumberFormat="1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8" fillId="0" borderId="1" xfId="0" applyNumberFormat="1" applyFont="1" applyBorder="1" applyAlignment="1"/>
    <xf numFmtId="0" fontId="8" fillId="0" borderId="1" xfId="0" applyFont="1" applyBorder="1" applyAlignment="1"/>
    <xf numFmtId="0" fontId="5" fillId="0" borderId="0" xfId="0" applyFont="1" applyBorder="1">
      <alignment vertical="center"/>
    </xf>
    <xf numFmtId="0" fontId="6" fillId="0" borderId="0" xfId="0" applyFont="1" applyBorder="1" applyAlignment="1">
      <alignment horizontal="center" vertical="top" wrapText="1"/>
    </xf>
    <xf numFmtId="176" fontId="5" fillId="0" borderId="0" xfId="1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right" vertical="center"/>
    </xf>
    <xf numFmtId="0" fontId="5" fillId="0" borderId="11" xfId="1" applyFont="1" applyBorder="1" applyAlignment="1">
      <alignment horizontal="right"/>
    </xf>
    <xf numFmtId="0" fontId="5" fillId="0" borderId="0" xfId="0" applyFont="1" applyBorder="1" applyAlignment="1">
      <alignment horizontal="right" vertical="center"/>
    </xf>
    <xf numFmtId="0" fontId="5" fillId="0" borderId="0" xfId="1" applyFont="1" applyBorder="1" applyAlignment="1">
      <alignment horizontal="right"/>
    </xf>
    <xf numFmtId="0" fontId="5" fillId="0" borderId="10" xfId="0" applyFont="1" applyFill="1" applyBorder="1" applyAlignment="1">
      <alignment horizontal="right" vertical="center"/>
    </xf>
    <xf numFmtId="0" fontId="5" fillId="0" borderId="10" xfId="1" applyFont="1" applyBorder="1" applyAlignment="1">
      <alignment horizontal="right"/>
    </xf>
    <xf numFmtId="0" fontId="5" fillId="0" borderId="0" xfId="0" applyFont="1" applyFill="1" applyBorder="1" applyAlignment="1">
      <alignment horizontal="right" vertical="center"/>
    </xf>
    <xf numFmtId="0" fontId="5" fillId="0" borderId="11" xfId="0" applyFont="1" applyFill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10" fontId="5" fillId="0" borderId="0" xfId="0" applyNumberFormat="1" applyFont="1" applyBorder="1" applyAlignment="1">
      <alignment horizontal="right" vertical="center"/>
    </xf>
    <xf numFmtId="0" fontId="5" fillId="0" borderId="25" xfId="1" applyFont="1" applyBorder="1" applyAlignment="1">
      <alignment horizontal="right"/>
    </xf>
    <xf numFmtId="0" fontId="5" fillId="0" borderId="1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3" borderId="11" xfId="1" applyFont="1" applyFill="1" applyBorder="1" applyAlignment="1">
      <alignment horizontal="right"/>
    </xf>
    <xf numFmtId="0" fontId="5" fillId="3" borderId="10" xfId="1" applyFont="1" applyFill="1" applyBorder="1" applyAlignment="1">
      <alignment horizontal="right"/>
    </xf>
    <xf numFmtId="0" fontId="5" fillId="3" borderId="10" xfId="0" applyFont="1" applyFill="1" applyBorder="1" applyAlignment="1">
      <alignment horizontal="right" vertical="center"/>
    </xf>
    <xf numFmtId="0" fontId="5" fillId="3" borderId="25" xfId="1" applyFont="1" applyFill="1" applyBorder="1" applyAlignment="1">
      <alignment horizontal="right"/>
    </xf>
    <xf numFmtId="0" fontId="5" fillId="3" borderId="25" xfId="0" applyFont="1" applyFill="1" applyBorder="1" applyAlignment="1">
      <alignment horizontal="right"/>
    </xf>
    <xf numFmtId="176" fontId="5" fillId="0" borderId="19" xfId="0" applyNumberFormat="1" applyFont="1" applyBorder="1" applyAlignment="1">
      <alignment horizontal="right" vertical="center"/>
    </xf>
    <xf numFmtId="176" fontId="5" fillId="0" borderId="19" xfId="1" applyNumberFormat="1" applyFont="1" applyBorder="1" applyAlignment="1">
      <alignment horizontal="right" vertical="center"/>
    </xf>
    <xf numFmtId="0" fontId="5" fillId="3" borderId="0" xfId="1" applyFont="1" applyFill="1" applyBorder="1" applyAlignment="1">
      <alignment horizontal="right"/>
    </xf>
    <xf numFmtId="0" fontId="11" fillId="3" borderId="0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 vertical="center"/>
    </xf>
    <xf numFmtId="0" fontId="11" fillId="3" borderId="11" xfId="0" applyFont="1" applyFill="1" applyBorder="1" applyAlignment="1">
      <alignment horizontal="right"/>
    </xf>
    <xf numFmtId="0" fontId="5" fillId="3" borderId="25" xfId="0" applyFont="1" applyFill="1" applyBorder="1" applyAlignment="1">
      <alignment horizontal="right" vertical="center"/>
    </xf>
    <xf numFmtId="0" fontId="5" fillId="0" borderId="27" xfId="0" applyFont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top"/>
    </xf>
    <xf numFmtId="0" fontId="5" fillId="3" borderId="11" xfId="0" applyFont="1" applyFill="1" applyBorder="1" applyAlignment="1">
      <alignment horizontal="right" vertical="top"/>
    </xf>
    <xf numFmtId="0" fontId="5" fillId="3" borderId="10" xfId="0" applyFont="1" applyFill="1" applyBorder="1" applyAlignment="1">
      <alignment horizontal="right" vertical="top"/>
    </xf>
    <xf numFmtId="0" fontId="5" fillId="3" borderId="10" xfId="0" applyFont="1" applyFill="1" applyBorder="1" applyAlignment="1">
      <alignment horizontal="right"/>
    </xf>
    <xf numFmtId="0" fontId="5" fillId="3" borderId="25" xfId="0" applyFont="1" applyFill="1" applyBorder="1" applyAlignment="1">
      <alignment horizontal="right" vertical="top"/>
    </xf>
    <xf numFmtId="176" fontId="5" fillId="3" borderId="17" xfId="1" applyNumberFormat="1" applyFont="1" applyFill="1" applyBorder="1" applyAlignment="1">
      <alignment horizontal="center" vertical="center"/>
    </xf>
    <xf numFmtId="176" fontId="5" fillId="3" borderId="21" xfId="1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right" vertical="center" wrapText="1"/>
    </xf>
    <xf numFmtId="0" fontId="5" fillId="3" borderId="20" xfId="0" applyFont="1" applyFill="1" applyBorder="1" applyAlignment="1">
      <alignment horizontal="right" vertical="center" wrapText="1"/>
    </xf>
    <xf numFmtId="0" fontId="5" fillId="3" borderId="18" xfId="0" applyFont="1" applyFill="1" applyBorder="1" applyAlignment="1">
      <alignment horizontal="right" vertical="center" wrapText="1"/>
    </xf>
    <xf numFmtId="0" fontId="5" fillId="3" borderId="24" xfId="0" applyFont="1" applyFill="1" applyBorder="1" applyAlignment="1">
      <alignment horizontal="right" vertical="center" wrapText="1"/>
    </xf>
    <xf numFmtId="176" fontId="5" fillId="3" borderId="19" xfId="0" applyNumberFormat="1" applyFont="1" applyFill="1" applyBorder="1" applyAlignment="1">
      <alignment horizontal="center" vertical="center"/>
    </xf>
    <xf numFmtId="176" fontId="5" fillId="3" borderId="26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right" vertical="top" wrapText="1"/>
    </xf>
    <xf numFmtId="177" fontId="5" fillId="0" borderId="17" xfId="1" applyNumberFormat="1" applyFont="1" applyBorder="1" applyAlignment="1">
      <alignment horizontal="right" vertical="center" wrapText="1"/>
    </xf>
    <xf numFmtId="177" fontId="5" fillId="0" borderId="19" xfId="1" applyNumberFormat="1" applyFont="1" applyBorder="1" applyAlignment="1">
      <alignment horizontal="right" vertical="center" wrapText="1"/>
    </xf>
    <xf numFmtId="177" fontId="5" fillId="0" borderId="21" xfId="1" applyNumberFormat="1" applyFont="1" applyBorder="1" applyAlignment="1">
      <alignment horizontal="right" vertical="center" wrapText="1"/>
    </xf>
    <xf numFmtId="0" fontId="6" fillId="0" borderId="18" xfId="0" applyFont="1" applyBorder="1" applyAlignment="1">
      <alignment horizontal="right" vertical="top" wrapText="1"/>
    </xf>
    <xf numFmtId="176" fontId="5" fillId="0" borderId="17" xfId="0" applyNumberFormat="1" applyFont="1" applyBorder="1" applyAlignment="1">
      <alignment horizontal="right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6" fillId="3" borderId="16" xfId="0" applyFont="1" applyFill="1" applyBorder="1" applyAlignment="1">
      <alignment horizontal="right" vertical="top" wrapText="1"/>
    </xf>
    <xf numFmtId="0" fontId="6" fillId="3" borderId="24" xfId="0" applyFont="1" applyFill="1" applyBorder="1" applyAlignment="1">
      <alignment horizontal="right" vertical="top" wrapText="1"/>
    </xf>
    <xf numFmtId="176" fontId="5" fillId="3" borderId="17" xfId="1" applyNumberFormat="1" applyFont="1" applyFill="1" applyBorder="1" applyAlignment="1">
      <alignment horizontal="right" vertical="center"/>
    </xf>
    <xf numFmtId="176" fontId="5" fillId="3" borderId="26" xfId="1" applyNumberFormat="1" applyFont="1" applyFill="1" applyBorder="1" applyAlignment="1">
      <alignment horizontal="right" vertical="center"/>
    </xf>
    <xf numFmtId="0" fontId="5" fillId="0" borderId="29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right" vertical="top"/>
    </xf>
    <xf numFmtId="176" fontId="5" fillId="0" borderId="17" xfId="1" applyNumberFormat="1" applyFont="1" applyBorder="1" applyAlignment="1">
      <alignment horizontal="right" vertical="center"/>
    </xf>
    <xf numFmtId="176" fontId="5" fillId="0" borderId="19" xfId="1" applyNumberFormat="1" applyFont="1" applyBorder="1" applyAlignment="1">
      <alignment horizontal="right" vertical="center"/>
    </xf>
    <xf numFmtId="0" fontId="5" fillId="3" borderId="16" xfId="0" applyFont="1" applyFill="1" applyBorder="1" applyAlignment="1">
      <alignment horizontal="right" vertical="top" wrapText="1"/>
    </xf>
    <xf numFmtId="0" fontId="5" fillId="3" borderId="20" xfId="0" applyFont="1" applyFill="1" applyBorder="1" applyAlignment="1">
      <alignment horizontal="right" vertical="top"/>
    </xf>
    <xf numFmtId="176" fontId="5" fillId="3" borderId="21" xfId="1" applyNumberFormat="1" applyFont="1" applyFill="1" applyBorder="1" applyAlignment="1">
      <alignment horizontal="right" vertical="center"/>
    </xf>
    <xf numFmtId="176" fontId="5" fillId="0" borderId="26" xfId="1" applyNumberFormat="1" applyFont="1" applyBorder="1" applyAlignment="1">
      <alignment horizontal="right" vertical="center"/>
    </xf>
    <xf numFmtId="176" fontId="5" fillId="0" borderId="21" xfId="1" applyNumberFormat="1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0" borderId="28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5" fillId="0" borderId="16" xfId="1" applyFont="1" applyBorder="1" applyAlignment="1">
      <alignment horizontal="right" vertical="top" wrapText="1"/>
    </xf>
    <xf numFmtId="0" fontId="5" fillId="0" borderId="20" xfId="1" applyFont="1" applyBorder="1" applyAlignment="1">
      <alignment horizontal="right" vertical="top"/>
    </xf>
    <xf numFmtId="0" fontId="5" fillId="3" borderId="18" xfId="1" applyFont="1" applyFill="1" applyBorder="1" applyAlignment="1">
      <alignment horizontal="right" vertical="top" wrapText="1"/>
    </xf>
    <xf numFmtId="0" fontId="5" fillId="3" borderId="18" xfId="1" applyFont="1" applyFill="1" applyBorder="1" applyAlignment="1">
      <alignment horizontal="right" vertical="top"/>
    </xf>
    <xf numFmtId="176" fontId="5" fillId="3" borderId="19" xfId="1" applyNumberFormat="1" applyFont="1" applyFill="1" applyBorder="1" applyAlignment="1">
      <alignment horizontal="right" vertical="center"/>
    </xf>
    <xf numFmtId="0" fontId="5" fillId="0" borderId="24" xfId="0" applyFont="1" applyBorder="1" applyAlignment="1">
      <alignment horizontal="right" vertical="top" wrapText="1"/>
    </xf>
    <xf numFmtId="0" fontId="5" fillId="3" borderId="16" xfId="1" applyFont="1" applyFill="1" applyBorder="1" applyAlignment="1">
      <alignment horizontal="right" vertical="top" wrapText="1"/>
    </xf>
    <xf numFmtId="0" fontId="5" fillId="3" borderId="20" xfId="1" applyFont="1" applyFill="1" applyBorder="1" applyAlignment="1">
      <alignment horizontal="right" vertical="top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176" fontId="8" fillId="0" borderId="1" xfId="1" applyNumberFormat="1" applyFont="1" applyBorder="1" applyAlignment="1">
      <alignment horizontal="right" vertical="center" wrapText="1"/>
    </xf>
    <xf numFmtId="176" fontId="8" fillId="0" borderId="1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176" fontId="8" fillId="0" borderId="1" xfId="1" applyNumberFormat="1" applyFont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6" xfId="1" applyFont="1" applyFill="1" applyBorder="1" applyAlignment="1">
      <alignment horizontal="center" vertical="top" wrapText="1"/>
    </xf>
    <xf numFmtId="0" fontId="8" fillId="0" borderId="4" xfId="1" applyFont="1" applyFill="1" applyBorder="1" applyAlignment="1">
      <alignment horizontal="center" vertical="top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76" fontId="8" fillId="0" borderId="6" xfId="1" applyNumberFormat="1" applyFont="1" applyBorder="1" applyAlignment="1">
      <alignment horizontal="right" vertical="center"/>
    </xf>
    <xf numFmtId="176" fontId="8" fillId="0" borderId="4" xfId="1" applyNumberFormat="1" applyFont="1" applyBorder="1" applyAlignment="1">
      <alignment horizontal="right" vertical="center"/>
    </xf>
    <xf numFmtId="176" fontId="8" fillId="0" borderId="3" xfId="1" applyNumberFormat="1" applyFont="1" applyBorder="1" applyAlignment="1">
      <alignment horizontal="right" vertical="center"/>
    </xf>
    <xf numFmtId="176" fontId="8" fillId="0" borderId="6" xfId="0" applyNumberFormat="1" applyFont="1" applyBorder="1" applyAlignment="1">
      <alignment horizontal="right" vertical="center" wrapText="1"/>
    </xf>
    <xf numFmtId="176" fontId="8" fillId="0" borderId="4" xfId="0" applyNumberFormat="1" applyFont="1" applyBorder="1" applyAlignment="1">
      <alignment horizontal="right" vertical="center" wrapText="1"/>
    </xf>
    <xf numFmtId="176" fontId="8" fillId="0" borderId="17" xfId="1" applyNumberFormat="1" applyFont="1" applyBorder="1" applyAlignment="1">
      <alignment horizontal="center" vertical="center"/>
    </xf>
    <xf numFmtId="176" fontId="8" fillId="0" borderId="19" xfId="1" applyNumberFormat="1" applyFont="1" applyBorder="1" applyAlignment="1">
      <alignment horizontal="center" vertical="center"/>
    </xf>
    <xf numFmtId="176" fontId="8" fillId="0" borderId="21" xfId="1" applyNumberFormat="1" applyFont="1" applyBorder="1" applyAlignment="1">
      <alignment horizontal="center" vertical="center"/>
    </xf>
    <xf numFmtId="176" fontId="8" fillId="0" borderId="19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32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 wrapText="1"/>
    </xf>
    <xf numFmtId="0" fontId="7" fillId="2" borderId="19" xfId="0" applyFont="1" applyFill="1" applyBorder="1" applyAlignment="1">
      <alignment horizontal="right" vertical="top" wrapText="1"/>
    </xf>
    <xf numFmtId="0" fontId="7" fillId="2" borderId="17" xfId="0" applyFont="1" applyFill="1" applyBorder="1" applyAlignment="1">
      <alignment horizontal="right" vertical="top" wrapText="1"/>
    </xf>
    <xf numFmtId="0" fontId="7" fillId="2" borderId="21" xfId="0" applyFont="1" applyFill="1" applyBorder="1" applyAlignment="1">
      <alignment horizontal="right" vertical="top" wrapText="1"/>
    </xf>
    <xf numFmtId="0" fontId="5" fillId="3" borderId="17" xfId="0" applyFont="1" applyFill="1" applyBorder="1" applyAlignment="1">
      <alignment horizontal="right" vertical="center" wrapText="1"/>
    </xf>
    <xf numFmtId="0" fontId="5" fillId="3" borderId="26" xfId="0" applyFont="1" applyFill="1" applyBorder="1" applyAlignment="1">
      <alignment horizontal="right" vertical="center" wrapText="1"/>
    </xf>
    <xf numFmtId="0" fontId="5" fillId="0" borderId="2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19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right" vertical="center" wrapText="1"/>
    </xf>
    <xf numFmtId="0" fontId="5" fillId="3" borderId="21" xfId="0" applyFont="1" applyFill="1" applyBorder="1" applyAlignment="1">
      <alignment horizontal="right" vertical="center" wrapText="1"/>
    </xf>
    <xf numFmtId="0" fontId="5" fillId="0" borderId="19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30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3" borderId="19" xfId="0" applyFont="1" applyFill="1" applyBorder="1" applyAlignment="1">
      <alignment horizontal="right" vertical="center" wrapText="1"/>
    </xf>
    <xf numFmtId="0" fontId="5" fillId="3" borderId="17" xfId="0" applyFont="1" applyFill="1" applyBorder="1" applyAlignment="1">
      <alignment horizontal="right" vertical="center" wrapText="1"/>
    </xf>
    <xf numFmtId="0" fontId="5" fillId="3" borderId="21" xfId="0" applyFont="1" applyFill="1" applyBorder="1" applyAlignment="1">
      <alignment horizontal="right" vertical="center" wrapText="1"/>
    </xf>
    <xf numFmtId="0" fontId="5" fillId="3" borderId="19" xfId="0" applyNumberFormat="1" applyFont="1" applyFill="1" applyBorder="1" applyAlignment="1">
      <alignment horizontal="right" vertical="center" wrapText="1"/>
    </xf>
    <xf numFmtId="0" fontId="5" fillId="3" borderId="26" xfId="0" applyNumberFormat="1" applyFont="1" applyFill="1" applyBorder="1" applyAlignment="1">
      <alignment horizontal="right" vertical="center" wrapText="1"/>
    </xf>
  </cellXfs>
  <cellStyles count="3">
    <cellStyle name="표준" xfId="0" builtinId="0"/>
    <cellStyle name="표준 2" xfId="1"/>
    <cellStyle name="표준 3" xfId="2"/>
  </cellStyles>
  <dxfs count="3">
    <dxf>
      <fill>
        <patternFill>
          <bgColor theme="5" tint="0.79998168889431442"/>
        </patternFill>
      </fill>
    </dxf>
    <dxf>
      <fill>
        <patternFill>
          <bgColor rgb="FFFF99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7"/>
  <sheetViews>
    <sheetView showGridLines="0" tabSelected="1" zoomScale="130" zoomScaleNormal="130" workbookViewId="0">
      <selection activeCell="J65" sqref="J65"/>
    </sheetView>
  </sheetViews>
  <sheetFormatPr defaultRowHeight="16.5" x14ac:dyDescent="0.3"/>
  <cols>
    <col min="2" max="2" width="23.625" style="3" customWidth="1"/>
    <col min="3" max="3" width="13.375" style="2" customWidth="1"/>
    <col min="4" max="4" width="14.125" style="2" bestFit="1" customWidth="1"/>
    <col min="5" max="5" width="20.125" style="2" bestFit="1" customWidth="1"/>
    <col min="6" max="6" width="20.75" style="2" bestFit="1" customWidth="1"/>
    <col min="7" max="7" width="10" style="4" customWidth="1"/>
  </cols>
  <sheetData>
    <row r="1" spans="1:8" ht="17.25" thickBot="1" x14ac:dyDescent="0.35">
      <c r="A1" s="8"/>
      <c r="B1" s="9"/>
      <c r="C1" s="10"/>
      <c r="D1" s="10"/>
      <c r="E1" s="10"/>
      <c r="F1" s="10"/>
      <c r="G1" s="11"/>
      <c r="H1" s="1"/>
    </row>
    <row r="2" spans="1:8" ht="27" x14ac:dyDescent="0.3">
      <c r="A2" s="8"/>
      <c r="B2" s="106" t="s">
        <v>361</v>
      </c>
      <c r="C2" s="151"/>
      <c r="D2" s="64" t="s">
        <v>370</v>
      </c>
      <c r="E2" s="51" t="s">
        <v>421</v>
      </c>
      <c r="F2" s="51" t="s">
        <v>422</v>
      </c>
      <c r="G2" s="17" t="s">
        <v>360</v>
      </c>
    </row>
    <row r="3" spans="1:8" x14ac:dyDescent="0.3">
      <c r="A3" s="8"/>
      <c r="B3" s="147" t="s">
        <v>359</v>
      </c>
      <c r="C3" s="149"/>
      <c r="D3" s="150"/>
      <c r="E3" s="148"/>
      <c r="F3" s="148"/>
      <c r="G3" s="149"/>
    </row>
    <row r="4" spans="1:8" ht="17.25" customHeight="1" x14ac:dyDescent="0.15">
      <c r="A4" s="8"/>
      <c r="B4" s="79" t="s">
        <v>358</v>
      </c>
      <c r="C4" s="152" t="s">
        <v>330</v>
      </c>
      <c r="D4" s="38" t="s">
        <v>371</v>
      </c>
      <c r="E4" s="39" t="s">
        <v>84</v>
      </c>
      <c r="F4" s="39" t="s">
        <v>85</v>
      </c>
      <c r="G4" s="82" t="s">
        <v>357</v>
      </c>
    </row>
    <row r="5" spans="1:8" x14ac:dyDescent="0.15">
      <c r="A5" s="8"/>
      <c r="B5" s="80"/>
      <c r="C5" s="153" t="s">
        <v>356</v>
      </c>
      <c r="D5" s="40" t="s">
        <v>372</v>
      </c>
      <c r="E5" s="41" t="s">
        <v>86</v>
      </c>
      <c r="F5" s="41" t="s">
        <v>87</v>
      </c>
      <c r="G5" s="83"/>
    </row>
    <row r="6" spans="1:8" x14ac:dyDescent="0.15">
      <c r="A6" s="8"/>
      <c r="B6" s="81"/>
      <c r="C6" s="154" t="s">
        <v>355</v>
      </c>
      <c r="D6" s="42" t="s">
        <v>373</v>
      </c>
      <c r="E6" s="43" t="s">
        <v>88</v>
      </c>
      <c r="F6" s="43" t="s">
        <v>89</v>
      </c>
      <c r="G6" s="84"/>
    </row>
    <row r="7" spans="1:8" ht="19.5" customHeight="1" x14ac:dyDescent="0.15">
      <c r="A7" s="8"/>
      <c r="B7" s="85" t="s">
        <v>354</v>
      </c>
      <c r="C7" s="155" t="s">
        <v>353</v>
      </c>
      <c r="D7" s="44" t="s">
        <v>374</v>
      </c>
      <c r="E7" s="41" t="s">
        <v>90</v>
      </c>
      <c r="F7" s="41" t="s">
        <v>91</v>
      </c>
      <c r="G7" s="83" t="s">
        <v>352</v>
      </c>
    </row>
    <row r="8" spans="1:8" ht="17.25" customHeight="1" x14ac:dyDescent="0.15">
      <c r="A8" s="8"/>
      <c r="B8" s="85"/>
      <c r="C8" s="155" t="s">
        <v>8</v>
      </c>
      <c r="D8" s="44" t="s">
        <v>375</v>
      </c>
      <c r="E8" s="41" t="s">
        <v>92</v>
      </c>
      <c r="F8" s="41" t="s">
        <v>93</v>
      </c>
      <c r="G8" s="83"/>
    </row>
    <row r="9" spans="1:8" ht="16.5" customHeight="1" x14ac:dyDescent="0.15">
      <c r="A9" s="8"/>
      <c r="B9" s="79" t="s">
        <v>351</v>
      </c>
      <c r="C9" s="156" t="s">
        <v>10</v>
      </c>
      <c r="D9" s="45" t="s">
        <v>376</v>
      </c>
      <c r="E9" s="39" t="s">
        <v>94</v>
      </c>
      <c r="F9" s="39" t="s">
        <v>95</v>
      </c>
      <c r="G9" s="86">
        <v>0.74280000000000002</v>
      </c>
    </row>
    <row r="10" spans="1:8" x14ac:dyDescent="0.15">
      <c r="A10" s="8"/>
      <c r="B10" s="81"/>
      <c r="C10" s="157" t="s">
        <v>350</v>
      </c>
      <c r="D10" s="42" t="s">
        <v>377</v>
      </c>
      <c r="E10" s="43" t="s">
        <v>96</v>
      </c>
      <c r="F10" s="43" t="s">
        <v>97</v>
      </c>
      <c r="G10" s="87"/>
    </row>
    <row r="11" spans="1:8" ht="29.25" customHeight="1" x14ac:dyDescent="0.15">
      <c r="A11" s="8"/>
      <c r="B11" s="79" t="s">
        <v>349</v>
      </c>
      <c r="C11" s="156" t="s">
        <v>348</v>
      </c>
      <c r="D11" s="38" t="s">
        <v>378</v>
      </c>
      <c r="E11" s="39" t="s">
        <v>100</v>
      </c>
      <c r="F11" s="39" t="s">
        <v>101</v>
      </c>
      <c r="G11" s="86">
        <v>0.747</v>
      </c>
    </row>
    <row r="12" spans="1:8" ht="29.25" customHeight="1" x14ac:dyDescent="0.15">
      <c r="A12" s="8"/>
      <c r="B12" s="81"/>
      <c r="C12" s="157" t="s">
        <v>347</v>
      </c>
      <c r="D12" s="46" t="s">
        <v>379</v>
      </c>
      <c r="E12" s="43" t="s">
        <v>98</v>
      </c>
      <c r="F12" s="43" t="s">
        <v>99</v>
      </c>
      <c r="G12" s="87"/>
    </row>
    <row r="13" spans="1:8" ht="16.5" customHeight="1" x14ac:dyDescent="0.15">
      <c r="A13" s="8"/>
      <c r="B13" s="79" t="s">
        <v>423</v>
      </c>
      <c r="C13" s="156" t="s">
        <v>15</v>
      </c>
      <c r="D13" s="38" t="s">
        <v>380</v>
      </c>
      <c r="E13" s="39" t="s">
        <v>102</v>
      </c>
      <c r="F13" s="39" t="s">
        <v>103</v>
      </c>
      <c r="G13" s="86">
        <v>0.88070000000000004</v>
      </c>
    </row>
    <row r="14" spans="1:8" x14ac:dyDescent="0.15">
      <c r="A14" s="8"/>
      <c r="B14" s="80"/>
      <c r="C14" s="155" t="s">
        <v>17</v>
      </c>
      <c r="D14" s="40" t="s">
        <v>381</v>
      </c>
      <c r="E14" s="41" t="s">
        <v>104</v>
      </c>
      <c r="F14" s="41" t="s">
        <v>105</v>
      </c>
      <c r="G14" s="88"/>
    </row>
    <row r="15" spans="1:8" x14ac:dyDescent="0.15">
      <c r="A15" s="8"/>
      <c r="B15" s="80"/>
      <c r="C15" s="155" t="s">
        <v>19</v>
      </c>
      <c r="D15" s="40" t="s">
        <v>382</v>
      </c>
      <c r="E15" s="41" t="s">
        <v>106</v>
      </c>
      <c r="F15" s="41" t="s">
        <v>107</v>
      </c>
      <c r="G15" s="88"/>
    </row>
    <row r="16" spans="1:8" x14ac:dyDescent="0.15">
      <c r="A16" s="8"/>
      <c r="B16" s="80"/>
      <c r="C16" s="155" t="s">
        <v>21</v>
      </c>
      <c r="D16" s="47" t="s">
        <v>383</v>
      </c>
      <c r="E16" s="41" t="s">
        <v>108</v>
      </c>
      <c r="F16" s="41" t="s">
        <v>109</v>
      </c>
      <c r="G16" s="88"/>
    </row>
    <row r="17" spans="1:7" x14ac:dyDescent="0.15">
      <c r="A17" s="8"/>
      <c r="B17" s="80"/>
      <c r="C17" s="155" t="s">
        <v>23</v>
      </c>
      <c r="D17" s="40" t="s">
        <v>384</v>
      </c>
      <c r="E17" s="41" t="s">
        <v>110</v>
      </c>
      <c r="F17" s="41" t="s">
        <v>111</v>
      </c>
      <c r="G17" s="88"/>
    </row>
    <row r="18" spans="1:7" x14ac:dyDescent="0.15">
      <c r="A18" s="8"/>
      <c r="B18" s="89" t="s">
        <v>424</v>
      </c>
      <c r="C18" s="158" t="s">
        <v>25</v>
      </c>
      <c r="D18" s="61" t="s">
        <v>385</v>
      </c>
      <c r="E18" s="52" t="s">
        <v>346</v>
      </c>
      <c r="F18" s="52" t="s">
        <v>112</v>
      </c>
      <c r="G18" s="91" t="s">
        <v>366</v>
      </c>
    </row>
    <row r="19" spans="1:7" ht="17.25" thickBot="1" x14ac:dyDescent="0.2">
      <c r="A19" s="8"/>
      <c r="B19" s="90"/>
      <c r="C19" s="159" t="s">
        <v>27</v>
      </c>
      <c r="D19" s="63" t="s">
        <v>386</v>
      </c>
      <c r="E19" s="55" t="s">
        <v>113</v>
      </c>
      <c r="F19" s="55" t="s">
        <v>114</v>
      </c>
      <c r="G19" s="92"/>
    </row>
    <row r="20" spans="1:7" s="1" customFormat="1" ht="17.25" thickBot="1" x14ac:dyDescent="0.2">
      <c r="A20" s="34"/>
      <c r="B20" s="35"/>
      <c r="C20" s="14"/>
      <c r="D20" s="12"/>
      <c r="E20" s="13"/>
      <c r="F20" s="13"/>
      <c r="G20" s="36"/>
    </row>
    <row r="21" spans="1:7" ht="27" x14ac:dyDescent="0.3">
      <c r="A21" s="8"/>
      <c r="B21" s="106" t="s">
        <v>361</v>
      </c>
      <c r="C21" s="151"/>
      <c r="D21" s="64" t="s">
        <v>390</v>
      </c>
      <c r="E21" s="51" t="s">
        <v>412</v>
      </c>
      <c r="F21" s="51" t="s">
        <v>413</v>
      </c>
      <c r="G21" s="17" t="s">
        <v>77</v>
      </c>
    </row>
    <row r="22" spans="1:7" x14ac:dyDescent="0.3">
      <c r="A22" s="8"/>
      <c r="B22" s="160" t="s">
        <v>345</v>
      </c>
      <c r="C22" s="162"/>
      <c r="D22" s="161"/>
      <c r="E22" s="161"/>
      <c r="F22" s="161"/>
      <c r="G22" s="162"/>
    </row>
    <row r="23" spans="1:7" ht="16.5" hidden="1" customHeight="1" x14ac:dyDescent="0.15">
      <c r="A23" s="8"/>
      <c r="B23" s="78" t="s">
        <v>29</v>
      </c>
      <c r="C23" s="163" t="s">
        <v>344</v>
      </c>
      <c r="D23" s="14" t="s">
        <v>343</v>
      </c>
      <c r="E23" s="13" t="s">
        <v>116</v>
      </c>
      <c r="F23" s="13" t="s">
        <v>117</v>
      </c>
      <c r="G23" s="58"/>
    </row>
    <row r="24" spans="1:7" ht="16.5" hidden="1" customHeight="1" x14ac:dyDescent="0.15">
      <c r="A24" s="8"/>
      <c r="B24" s="78"/>
      <c r="C24" s="163" t="s">
        <v>342</v>
      </c>
      <c r="D24" s="14" t="s">
        <v>341</v>
      </c>
      <c r="E24" s="13" t="s">
        <v>118</v>
      </c>
      <c r="F24" s="13" t="s">
        <v>119</v>
      </c>
      <c r="G24" s="57"/>
    </row>
    <row r="25" spans="1:7" ht="16.5" hidden="1" customHeight="1" x14ac:dyDescent="0.15">
      <c r="A25" s="8"/>
      <c r="B25" s="78"/>
      <c r="C25" s="163" t="s">
        <v>340</v>
      </c>
      <c r="D25" s="14" t="s">
        <v>339</v>
      </c>
      <c r="E25" s="13" t="s">
        <v>120</v>
      </c>
      <c r="F25" s="13" t="s">
        <v>121</v>
      </c>
      <c r="G25" s="57"/>
    </row>
    <row r="26" spans="1:7" ht="16.5" hidden="1" customHeight="1" x14ac:dyDescent="0.15">
      <c r="A26" s="8"/>
      <c r="B26" s="78" t="s">
        <v>30</v>
      </c>
      <c r="C26" s="163" t="s">
        <v>338</v>
      </c>
      <c r="D26" s="15" t="s">
        <v>337</v>
      </c>
      <c r="E26" s="13" t="s">
        <v>122</v>
      </c>
      <c r="F26" s="13" t="s">
        <v>123</v>
      </c>
      <c r="G26" s="57"/>
    </row>
    <row r="27" spans="1:7" ht="16.5" hidden="1" customHeight="1" x14ac:dyDescent="0.15">
      <c r="A27" s="8"/>
      <c r="B27" s="78"/>
      <c r="C27" s="163" t="s">
        <v>336</v>
      </c>
      <c r="D27" s="15" t="s">
        <v>335</v>
      </c>
      <c r="E27" s="13" t="s">
        <v>124</v>
      </c>
      <c r="F27" s="13" t="s">
        <v>125</v>
      </c>
      <c r="G27" s="57"/>
    </row>
    <row r="28" spans="1:7" ht="16.5" hidden="1" customHeight="1" x14ac:dyDescent="0.15">
      <c r="A28" s="8"/>
      <c r="B28" s="78"/>
      <c r="C28" s="163" t="s">
        <v>334</v>
      </c>
      <c r="D28" s="15" t="s">
        <v>317</v>
      </c>
      <c r="E28" s="13" t="s">
        <v>126</v>
      </c>
      <c r="F28" s="13" t="s">
        <v>127</v>
      </c>
      <c r="G28" s="57"/>
    </row>
    <row r="29" spans="1:7" ht="16.5" hidden="1" customHeight="1" x14ac:dyDescent="0.15">
      <c r="A29" s="8"/>
      <c r="B29" s="78"/>
      <c r="C29" s="163" t="s">
        <v>333</v>
      </c>
      <c r="D29" s="15" t="s">
        <v>332</v>
      </c>
      <c r="E29" s="13" t="s">
        <v>128</v>
      </c>
      <c r="F29" s="13" t="s">
        <v>129</v>
      </c>
      <c r="G29" s="57"/>
    </row>
    <row r="30" spans="1:7" ht="16.5" customHeight="1" x14ac:dyDescent="0.15">
      <c r="A30" s="8"/>
      <c r="B30" s="79" t="s">
        <v>331</v>
      </c>
      <c r="C30" s="164" t="s">
        <v>414</v>
      </c>
      <c r="D30" s="49" t="s">
        <v>387</v>
      </c>
      <c r="E30" s="39" t="s">
        <v>130</v>
      </c>
      <c r="F30" s="39" t="s">
        <v>131</v>
      </c>
      <c r="G30" s="99">
        <v>0.48499999999999999</v>
      </c>
    </row>
    <row r="31" spans="1:7" x14ac:dyDescent="0.15">
      <c r="A31" s="8"/>
      <c r="B31" s="98"/>
      <c r="C31" s="153" t="s">
        <v>415</v>
      </c>
      <c r="D31" s="50" t="s">
        <v>388</v>
      </c>
      <c r="E31" s="41" t="s">
        <v>132</v>
      </c>
      <c r="F31" s="41" t="s">
        <v>133</v>
      </c>
      <c r="G31" s="100"/>
    </row>
    <row r="32" spans="1:7" ht="16.5" customHeight="1" x14ac:dyDescent="0.15">
      <c r="A32" s="8"/>
      <c r="B32" s="101" t="s">
        <v>329</v>
      </c>
      <c r="C32" s="158" t="s">
        <v>35</v>
      </c>
      <c r="D32" s="52" t="s">
        <v>80</v>
      </c>
      <c r="E32" s="61" t="s">
        <v>190</v>
      </c>
      <c r="F32" s="61" t="s">
        <v>191</v>
      </c>
      <c r="G32" s="91" t="s">
        <v>363</v>
      </c>
    </row>
    <row r="33" spans="1:7" x14ac:dyDescent="0.15">
      <c r="A33" s="8"/>
      <c r="B33" s="102"/>
      <c r="C33" s="165" t="s">
        <v>328</v>
      </c>
      <c r="D33" s="53" t="s">
        <v>389</v>
      </c>
      <c r="E33" s="54" t="s">
        <v>392</v>
      </c>
      <c r="F33" s="54" t="s">
        <v>391</v>
      </c>
      <c r="G33" s="103"/>
    </row>
    <row r="34" spans="1:7" ht="16.5" hidden="1" customHeight="1" x14ac:dyDescent="0.15">
      <c r="A34" s="8"/>
      <c r="B34" s="80" t="s">
        <v>36</v>
      </c>
      <c r="C34" s="166" t="s">
        <v>25</v>
      </c>
      <c r="D34" s="50" t="s">
        <v>327</v>
      </c>
      <c r="E34" s="41" t="s">
        <v>140</v>
      </c>
      <c r="F34" s="41" t="s">
        <v>141</v>
      </c>
      <c r="G34" s="57"/>
    </row>
    <row r="35" spans="1:7" ht="16.5" hidden="1" customHeight="1" x14ac:dyDescent="0.15">
      <c r="A35" s="8"/>
      <c r="B35" s="80"/>
      <c r="C35" s="166" t="s">
        <v>27</v>
      </c>
      <c r="D35" s="50" t="s">
        <v>326</v>
      </c>
      <c r="E35" s="41" t="s">
        <v>142</v>
      </c>
      <c r="F35" s="41" t="s">
        <v>143</v>
      </c>
      <c r="G35" s="57"/>
    </row>
    <row r="36" spans="1:7" ht="16.5" hidden="1" customHeight="1" x14ac:dyDescent="0.15">
      <c r="A36" s="8"/>
      <c r="B36" s="80"/>
      <c r="C36" s="166" t="s">
        <v>39</v>
      </c>
      <c r="D36" s="50" t="s">
        <v>325</v>
      </c>
      <c r="E36" s="41" t="s">
        <v>138</v>
      </c>
      <c r="F36" s="41" t="s">
        <v>139</v>
      </c>
      <c r="G36" s="57"/>
    </row>
    <row r="37" spans="1:7" ht="16.5" hidden="1" customHeight="1" x14ac:dyDescent="0.15">
      <c r="A37" s="8"/>
      <c r="B37" s="80" t="s">
        <v>41</v>
      </c>
      <c r="C37" s="166" t="s">
        <v>25</v>
      </c>
      <c r="D37" s="41" t="s">
        <v>42</v>
      </c>
      <c r="E37" s="41" t="s">
        <v>134</v>
      </c>
      <c r="F37" s="41" t="s">
        <v>135</v>
      </c>
      <c r="G37" s="57"/>
    </row>
    <row r="38" spans="1:7" ht="16.5" hidden="1" customHeight="1" x14ac:dyDescent="0.15">
      <c r="A38" s="8"/>
      <c r="B38" s="80"/>
      <c r="C38" s="166" t="s">
        <v>27</v>
      </c>
      <c r="D38" s="41" t="s">
        <v>43</v>
      </c>
      <c r="E38" s="41" t="s">
        <v>136</v>
      </c>
      <c r="F38" s="41" t="s">
        <v>137</v>
      </c>
      <c r="G38" s="57"/>
    </row>
    <row r="39" spans="1:7" ht="16.5" hidden="1" customHeight="1" x14ac:dyDescent="0.15">
      <c r="A39" s="8"/>
      <c r="B39" s="80"/>
      <c r="C39" s="166" t="s">
        <v>39</v>
      </c>
      <c r="D39" s="41" t="s">
        <v>44</v>
      </c>
      <c r="E39" s="41" t="s">
        <v>138</v>
      </c>
      <c r="F39" s="41" t="s">
        <v>139</v>
      </c>
      <c r="G39" s="57"/>
    </row>
    <row r="40" spans="1:7" ht="16.5" hidden="1" customHeight="1" x14ac:dyDescent="0.15">
      <c r="A40" s="8"/>
      <c r="B40" s="80" t="s">
        <v>45</v>
      </c>
      <c r="C40" s="166" t="s">
        <v>25</v>
      </c>
      <c r="D40" s="41" t="s">
        <v>46</v>
      </c>
      <c r="E40" s="41" t="s">
        <v>144</v>
      </c>
      <c r="F40" s="41" t="s">
        <v>145</v>
      </c>
      <c r="G40" s="57"/>
    </row>
    <row r="41" spans="1:7" ht="16.5" hidden="1" customHeight="1" x14ac:dyDescent="0.15">
      <c r="A41" s="8"/>
      <c r="B41" s="80"/>
      <c r="C41" s="166" t="s">
        <v>27</v>
      </c>
      <c r="D41" s="41" t="s">
        <v>47</v>
      </c>
      <c r="E41" s="41" t="s">
        <v>146</v>
      </c>
      <c r="F41" s="41" t="s">
        <v>147</v>
      </c>
      <c r="G41" s="57"/>
    </row>
    <row r="42" spans="1:7" ht="16.5" hidden="1" customHeight="1" x14ac:dyDescent="0.15">
      <c r="A42" s="8"/>
      <c r="B42" s="80"/>
      <c r="C42" s="166" t="s">
        <v>39</v>
      </c>
      <c r="D42" s="41" t="s">
        <v>44</v>
      </c>
      <c r="E42" s="41" t="s">
        <v>138</v>
      </c>
      <c r="F42" s="41" t="s">
        <v>139</v>
      </c>
      <c r="G42" s="57"/>
    </row>
    <row r="43" spans="1:7" ht="16.5" hidden="1" customHeight="1" x14ac:dyDescent="0.15">
      <c r="A43" s="8"/>
      <c r="B43" s="80" t="s">
        <v>362</v>
      </c>
      <c r="C43" s="166" t="s">
        <v>25</v>
      </c>
      <c r="D43" s="41" t="s">
        <v>48</v>
      </c>
      <c r="E43" s="41" t="s">
        <v>324</v>
      </c>
      <c r="F43" s="41" t="s">
        <v>148</v>
      </c>
      <c r="G43" s="100" t="s">
        <v>364</v>
      </c>
    </row>
    <row r="44" spans="1:7" hidden="1" x14ac:dyDescent="0.15">
      <c r="A44" s="8"/>
      <c r="B44" s="80"/>
      <c r="C44" s="166" t="s">
        <v>27</v>
      </c>
      <c r="D44" s="41" t="s">
        <v>49</v>
      </c>
      <c r="E44" s="41" t="s">
        <v>149</v>
      </c>
      <c r="F44" s="41" t="s">
        <v>150</v>
      </c>
      <c r="G44" s="100"/>
    </row>
    <row r="45" spans="1:7" hidden="1" x14ac:dyDescent="0.15">
      <c r="A45" s="8"/>
      <c r="B45" s="80"/>
      <c r="C45" s="166" t="s">
        <v>322</v>
      </c>
      <c r="D45" s="41" t="s">
        <v>44</v>
      </c>
      <c r="E45" s="41" t="s">
        <v>138</v>
      </c>
      <c r="F45" s="41" t="s">
        <v>139</v>
      </c>
      <c r="G45" s="100"/>
    </row>
    <row r="46" spans="1:7" ht="16.5" hidden="1" customHeight="1" x14ac:dyDescent="0.15">
      <c r="A46" s="8"/>
      <c r="B46" s="79" t="s">
        <v>323</v>
      </c>
      <c r="C46" s="164" t="s">
        <v>25</v>
      </c>
      <c r="D46" s="39" t="s">
        <v>50</v>
      </c>
      <c r="E46" s="39" t="s">
        <v>152</v>
      </c>
      <c r="F46" s="39" t="s">
        <v>153</v>
      </c>
      <c r="G46" s="99" t="s">
        <v>365</v>
      </c>
    </row>
    <row r="47" spans="1:7" hidden="1" x14ac:dyDescent="0.15">
      <c r="A47" s="8"/>
      <c r="B47" s="80"/>
      <c r="C47" s="166" t="s">
        <v>27</v>
      </c>
      <c r="D47" s="41" t="s">
        <v>51</v>
      </c>
      <c r="E47" s="41" t="s">
        <v>154</v>
      </c>
      <c r="F47" s="41" t="s">
        <v>155</v>
      </c>
      <c r="G47" s="100"/>
    </row>
    <row r="48" spans="1:7" hidden="1" x14ac:dyDescent="0.15">
      <c r="A48" s="8"/>
      <c r="B48" s="81"/>
      <c r="C48" s="154" t="s">
        <v>322</v>
      </c>
      <c r="D48" s="43" t="s">
        <v>52</v>
      </c>
      <c r="E48" s="43" t="s">
        <v>156</v>
      </c>
      <c r="F48" s="43" t="s">
        <v>157</v>
      </c>
      <c r="G48" s="105"/>
    </row>
    <row r="49" spans="1:7" x14ac:dyDescent="0.15">
      <c r="A49" s="8"/>
      <c r="B49" s="80" t="s">
        <v>425</v>
      </c>
      <c r="C49" s="166" t="s">
        <v>25</v>
      </c>
      <c r="D49" s="41" t="s">
        <v>53</v>
      </c>
      <c r="E49" s="41" t="s">
        <v>158</v>
      </c>
      <c r="F49" s="41" t="s">
        <v>159</v>
      </c>
      <c r="G49" s="100">
        <v>0.93530000000000002</v>
      </c>
    </row>
    <row r="50" spans="1:7" x14ac:dyDescent="0.15">
      <c r="A50" s="8"/>
      <c r="B50" s="80"/>
      <c r="C50" s="166" t="s">
        <v>27</v>
      </c>
      <c r="D50" s="41" t="s">
        <v>54</v>
      </c>
      <c r="E50" s="41" t="s">
        <v>160</v>
      </c>
      <c r="F50" s="41" t="s">
        <v>161</v>
      </c>
      <c r="G50" s="100"/>
    </row>
    <row r="51" spans="1:7" x14ac:dyDescent="0.15">
      <c r="A51" s="8"/>
      <c r="B51" s="79" t="s">
        <v>426</v>
      </c>
      <c r="C51" s="164" t="s">
        <v>25</v>
      </c>
      <c r="D51" s="39" t="s">
        <v>55</v>
      </c>
      <c r="E51" s="39" t="s">
        <v>162</v>
      </c>
      <c r="F51" s="39" t="s">
        <v>163</v>
      </c>
      <c r="G51" s="99">
        <v>0.54059999999999997</v>
      </c>
    </row>
    <row r="52" spans="1:7" x14ac:dyDescent="0.15">
      <c r="A52" s="8"/>
      <c r="B52" s="81"/>
      <c r="C52" s="154" t="s">
        <v>27</v>
      </c>
      <c r="D52" s="43" t="s">
        <v>56</v>
      </c>
      <c r="E52" s="43" t="s">
        <v>164</v>
      </c>
      <c r="F52" s="43" t="s">
        <v>165</v>
      </c>
      <c r="G52" s="105"/>
    </row>
    <row r="53" spans="1:7" x14ac:dyDescent="0.15">
      <c r="A53" s="8"/>
      <c r="B53" s="80" t="s">
        <v>321</v>
      </c>
      <c r="C53" s="166" t="s">
        <v>25</v>
      </c>
      <c r="D53" s="41" t="s">
        <v>57</v>
      </c>
      <c r="E53" s="41" t="s">
        <v>166</v>
      </c>
      <c r="F53" s="41" t="s">
        <v>167</v>
      </c>
      <c r="G53" s="100">
        <v>0.53439999999999999</v>
      </c>
    </row>
    <row r="54" spans="1:7" x14ac:dyDescent="0.15">
      <c r="A54" s="8"/>
      <c r="B54" s="80"/>
      <c r="C54" s="166" t="s">
        <v>27</v>
      </c>
      <c r="D54" s="41" t="s">
        <v>58</v>
      </c>
      <c r="E54" s="41" t="s">
        <v>168</v>
      </c>
      <c r="F54" s="41" t="s">
        <v>169</v>
      </c>
      <c r="G54" s="100"/>
    </row>
    <row r="55" spans="1:7" x14ac:dyDescent="0.15">
      <c r="A55" s="8"/>
      <c r="B55" s="79" t="s">
        <v>320</v>
      </c>
      <c r="C55" s="164" t="s">
        <v>416</v>
      </c>
      <c r="D55" s="38" t="s">
        <v>393</v>
      </c>
      <c r="E55" s="39" t="s">
        <v>319</v>
      </c>
      <c r="F55" s="39" t="s">
        <v>170</v>
      </c>
      <c r="G55" s="99">
        <v>0.30599999999999999</v>
      </c>
    </row>
    <row r="56" spans="1:7" x14ac:dyDescent="0.15">
      <c r="A56" s="8"/>
      <c r="B56" s="80"/>
      <c r="C56" s="166" t="s">
        <v>420</v>
      </c>
      <c r="D56" s="40" t="s">
        <v>394</v>
      </c>
      <c r="E56" s="41" t="s">
        <v>171</v>
      </c>
      <c r="F56" s="41" t="s">
        <v>172</v>
      </c>
      <c r="G56" s="100"/>
    </row>
    <row r="57" spans="1:7" x14ac:dyDescent="0.15">
      <c r="A57" s="8"/>
      <c r="B57" s="81"/>
      <c r="C57" s="154" t="s">
        <v>417</v>
      </c>
      <c r="D57" s="46" t="s">
        <v>395</v>
      </c>
      <c r="E57" s="43" t="s">
        <v>173</v>
      </c>
      <c r="F57" s="43" t="s">
        <v>174</v>
      </c>
      <c r="G57" s="105"/>
    </row>
    <row r="58" spans="1:7" ht="16.5" customHeight="1" x14ac:dyDescent="0.15">
      <c r="A58" s="8"/>
      <c r="B58" s="80" t="s">
        <v>427</v>
      </c>
      <c r="C58" s="166" t="s">
        <v>418</v>
      </c>
      <c r="D58" s="40" t="s">
        <v>396</v>
      </c>
      <c r="E58" s="41" t="s">
        <v>176</v>
      </c>
      <c r="F58" s="41" t="s">
        <v>177</v>
      </c>
      <c r="G58" s="88">
        <v>0.68200000000000005</v>
      </c>
    </row>
    <row r="59" spans="1:7" x14ac:dyDescent="0.15">
      <c r="A59" s="8"/>
      <c r="B59" s="80"/>
      <c r="C59" s="166" t="s">
        <v>419</v>
      </c>
      <c r="D59" s="40" t="s">
        <v>397</v>
      </c>
      <c r="E59" s="41" t="s">
        <v>178</v>
      </c>
      <c r="F59" s="41" t="s">
        <v>179</v>
      </c>
      <c r="G59" s="88"/>
    </row>
    <row r="60" spans="1:7" ht="16.5" customHeight="1" x14ac:dyDescent="0.15">
      <c r="A60" s="8"/>
      <c r="B60" s="79" t="s">
        <v>428</v>
      </c>
      <c r="C60" s="164" t="s">
        <v>25</v>
      </c>
      <c r="D60" s="39" t="s">
        <v>69</v>
      </c>
      <c r="E60" s="38" t="s">
        <v>180</v>
      </c>
      <c r="F60" s="38" t="s">
        <v>181</v>
      </c>
      <c r="G60" s="99">
        <v>0.93110000000000004</v>
      </c>
    </row>
    <row r="61" spans="1:7" x14ac:dyDescent="0.15">
      <c r="A61" s="8"/>
      <c r="B61" s="81"/>
      <c r="C61" s="154" t="s">
        <v>27</v>
      </c>
      <c r="D61" s="43" t="s">
        <v>70</v>
      </c>
      <c r="E61" s="46" t="s">
        <v>182</v>
      </c>
      <c r="F61" s="46" t="s">
        <v>183</v>
      </c>
      <c r="G61" s="105"/>
    </row>
    <row r="62" spans="1:7" ht="16.5" customHeight="1" x14ac:dyDescent="0.15">
      <c r="A62" s="8"/>
      <c r="B62" s="80" t="s">
        <v>429</v>
      </c>
      <c r="C62" s="166" t="s">
        <v>71</v>
      </c>
      <c r="D62" s="41" t="s">
        <v>72</v>
      </c>
      <c r="E62" s="40" t="s">
        <v>184</v>
      </c>
      <c r="F62" s="40" t="s">
        <v>185</v>
      </c>
      <c r="G62" s="100">
        <v>0.316</v>
      </c>
    </row>
    <row r="63" spans="1:7" ht="17.25" thickBot="1" x14ac:dyDescent="0.2">
      <c r="A63" s="8"/>
      <c r="B63" s="114"/>
      <c r="C63" s="167" t="s">
        <v>318</v>
      </c>
      <c r="D63" s="48" t="s">
        <v>398</v>
      </c>
      <c r="E63" s="48" t="s">
        <v>399</v>
      </c>
      <c r="F63" s="48" t="s">
        <v>400</v>
      </c>
      <c r="G63" s="104"/>
    </row>
    <row r="64" spans="1:7" s="1" customFormat="1" ht="17.25" thickBot="1" x14ac:dyDescent="0.2">
      <c r="A64" s="34"/>
      <c r="B64" s="37"/>
      <c r="C64" s="14"/>
      <c r="D64" s="13"/>
      <c r="E64" s="13"/>
      <c r="F64" s="13"/>
      <c r="G64" s="36"/>
    </row>
    <row r="65" spans="1:7" ht="27" x14ac:dyDescent="0.3">
      <c r="A65" s="8"/>
      <c r="B65" s="107" t="s">
        <v>361</v>
      </c>
      <c r="C65" s="168"/>
      <c r="D65" s="93" t="s">
        <v>370</v>
      </c>
      <c r="E65" s="51" t="s">
        <v>410</v>
      </c>
      <c r="F65" s="51" t="s">
        <v>411</v>
      </c>
      <c r="G65" s="95" t="s">
        <v>77</v>
      </c>
    </row>
    <row r="66" spans="1:7" x14ac:dyDescent="0.3">
      <c r="A66" s="8"/>
      <c r="B66" s="108"/>
      <c r="C66" s="169"/>
      <c r="D66" s="94"/>
      <c r="E66" s="96" t="s">
        <v>408</v>
      </c>
      <c r="F66" s="97"/>
      <c r="G66" s="88"/>
    </row>
    <row r="67" spans="1:7" x14ac:dyDescent="0.3">
      <c r="A67" s="8"/>
      <c r="B67" s="160" t="s">
        <v>316</v>
      </c>
      <c r="C67" s="162"/>
      <c r="D67" s="161"/>
      <c r="E67" s="161"/>
      <c r="F67" s="161"/>
      <c r="G67" s="162"/>
    </row>
    <row r="68" spans="1:7" x14ac:dyDescent="0.15">
      <c r="A68" s="8"/>
      <c r="B68" s="115" t="s">
        <v>430</v>
      </c>
      <c r="C68" s="158" t="s">
        <v>25</v>
      </c>
      <c r="D68" s="52" t="s">
        <v>50</v>
      </c>
      <c r="E68" s="52" t="s">
        <v>192</v>
      </c>
      <c r="F68" s="52" t="s">
        <v>193</v>
      </c>
      <c r="G68" s="91" t="s">
        <v>367</v>
      </c>
    </row>
    <row r="69" spans="1:7" x14ac:dyDescent="0.15">
      <c r="A69" s="8"/>
      <c r="B69" s="116"/>
      <c r="C69" s="165" t="s">
        <v>27</v>
      </c>
      <c r="D69" s="53" t="s">
        <v>315</v>
      </c>
      <c r="E69" s="53" t="s">
        <v>194</v>
      </c>
      <c r="F69" s="53" t="s">
        <v>195</v>
      </c>
      <c r="G69" s="103"/>
    </row>
    <row r="70" spans="1:7" ht="16.5" customHeight="1" x14ac:dyDescent="0.15">
      <c r="A70" s="8"/>
      <c r="B70" s="111" t="s">
        <v>432</v>
      </c>
      <c r="C70" s="170" t="s">
        <v>25</v>
      </c>
      <c r="D70" s="59" t="s">
        <v>76</v>
      </c>
      <c r="E70" s="59" t="s">
        <v>207</v>
      </c>
      <c r="F70" s="59" t="s">
        <v>208</v>
      </c>
      <c r="G70" s="113" t="s">
        <v>368</v>
      </c>
    </row>
    <row r="71" spans="1:7" x14ac:dyDescent="0.15">
      <c r="A71" s="8"/>
      <c r="B71" s="112"/>
      <c r="C71" s="170" t="s">
        <v>27</v>
      </c>
      <c r="D71" s="59" t="s">
        <v>75</v>
      </c>
      <c r="E71" s="59" t="s">
        <v>209</v>
      </c>
      <c r="F71" s="59" t="s">
        <v>210</v>
      </c>
      <c r="G71" s="113"/>
    </row>
    <row r="72" spans="1:7" ht="16.5" customHeight="1" x14ac:dyDescent="0.15">
      <c r="A72" s="8"/>
      <c r="B72" s="109" t="s">
        <v>433</v>
      </c>
      <c r="C72" s="164" t="s">
        <v>25</v>
      </c>
      <c r="D72" s="39" t="s">
        <v>73</v>
      </c>
      <c r="E72" s="39" t="s">
        <v>196</v>
      </c>
      <c r="F72" s="39" t="s">
        <v>197</v>
      </c>
      <c r="G72" s="99">
        <v>0.1336</v>
      </c>
    </row>
    <row r="73" spans="1:7" x14ac:dyDescent="0.15">
      <c r="A73" s="8"/>
      <c r="B73" s="110"/>
      <c r="C73" s="154" t="s">
        <v>27</v>
      </c>
      <c r="D73" s="43" t="s">
        <v>74</v>
      </c>
      <c r="E73" s="43" t="s">
        <v>198</v>
      </c>
      <c r="F73" s="43" t="s">
        <v>199</v>
      </c>
      <c r="G73" s="105"/>
    </row>
    <row r="74" spans="1:7" x14ac:dyDescent="0.15">
      <c r="A74" s="8"/>
      <c r="B74" s="72" t="s">
        <v>434</v>
      </c>
      <c r="C74" s="171" t="s">
        <v>409</v>
      </c>
      <c r="D74" s="66" t="s">
        <v>436</v>
      </c>
      <c r="E74" s="62" t="s">
        <v>404</v>
      </c>
      <c r="F74" s="62" t="s">
        <v>405</v>
      </c>
      <c r="G74" s="70" t="s">
        <v>363</v>
      </c>
    </row>
    <row r="75" spans="1:7" x14ac:dyDescent="0.15">
      <c r="A75" s="8"/>
      <c r="B75" s="73"/>
      <c r="C75" s="172"/>
      <c r="D75" s="67" t="s">
        <v>401</v>
      </c>
      <c r="E75" s="68" t="s">
        <v>402</v>
      </c>
      <c r="F75" s="68" t="s">
        <v>403</v>
      </c>
      <c r="G75" s="71"/>
    </row>
    <row r="76" spans="1:7" x14ac:dyDescent="0.15">
      <c r="B76" s="74" t="s">
        <v>435</v>
      </c>
      <c r="C76" s="173" t="s">
        <v>431</v>
      </c>
      <c r="D76" s="65" t="s">
        <v>437</v>
      </c>
      <c r="E76" s="60" t="s">
        <v>406</v>
      </c>
      <c r="F76" s="60" t="s">
        <v>407</v>
      </c>
      <c r="G76" s="76" t="s">
        <v>369</v>
      </c>
    </row>
    <row r="77" spans="1:7" ht="17.25" thickBot="1" x14ac:dyDescent="0.2">
      <c r="B77" s="75"/>
      <c r="C77" s="174"/>
      <c r="D77" s="69" t="s">
        <v>401</v>
      </c>
      <c r="E77" s="56" t="s">
        <v>402</v>
      </c>
      <c r="F77" s="56" t="s">
        <v>403</v>
      </c>
      <c r="G77" s="77"/>
    </row>
    <row r="78" spans="1:7" x14ac:dyDescent="0.3">
      <c r="G78" s="5"/>
    </row>
    <row r="79" spans="1:7" x14ac:dyDescent="0.3">
      <c r="G79" s="5"/>
    </row>
    <row r="80" spans="1:7" x14ac:dyDescent="0.3">
      <c r="C80"/>
      <c r="D80"/>
      <c r="E80"/>
      <c r="G80" s="5"/>
    </row>
    <row r="81" spans="5:7" x14ac:dyDescent="0.3">
      <c r="G81" s="5"/>
    </row>
    <row r="82" spans="5:7" x14ac:dyDescent="0.3">
      <c r="E82"/>
      <c r="G82" s="5"/>
    </row>
    <row r="83" spans="5:7" x14ac:dyDescent="0.3">
      <c r="E83"/>
      <c r="G83" s="5"/>
    </row>
    <row r="84" spans="5:7" x14ac:dyDescent="0.3">
      <c r="G84" s="5"/>
    </row>
    <row r="85" spans="5:7" x14ac:dyDescent="0.3">
      <c r="G85" s="5"/>
    </row>
    <row r="86" spans="5:7" x14ac:dyDescent="0.3">
      <c r="G86" s="5"/>
    </row>
    <row r="87" spans="5:7" x14ac:dyDescent="0.3">
      <c r="G87" s="5"/>
    </row>
    <row r="88" spans="5:7" x14ac:dyDescent="0.3">
      <c r="G88" s="5"/>
    </row>
    <row r="89" spans="5:7" x14ac:dyDescent="0.3">
      <c r="G89" s="5"/>
    </row>
    <row r="90" spans="5:7" x14ac:dyDescent="0.3">
      <c r="G90" s="5"/>
    </row>
    <row r="91" spans="5:7" x14ac:dyDescent="0.3">
      <c r="G91" s="5"/>
    </row>
    <row r="92" spans="5:7" x14ac:dyDescent="0.3">
      <c r="G92" s="5"/>
    </row>
    <row r="93" spans="5:7" x14ac:dyDescent="0.3">
      <c r="G93" s="5"/>
    </row>
    <row r="94" spans="5:7" x14ac:dyDescent="0.3">
      <c r="G94" s="5"/>
    </row>
    <row r="95" spans="5:7" x14ac:dyDescent="0.3">
      <c r="G95" s="5"/>
    </row>
    <row r="96" spans="5:7" x14ac:dyDescent="0.3">
      <c r="G96" s="5"/>
    </row>
    <row r="97" spans="7:7" x14ac:dyDescent="0.3">
      <c r="G97" s="5"/>
    </row>
    <row r="98" spans="7:7" x14ac:dyDescent="0.3">
      <c r="G98" s="5"/>
    </row>
    <row r="99" spans="7:7" x14ac:dyDescent="0.3">
      <c r="G99" s="5"/>
    </row>
    <row r="100" spans="7:7" x14ac:dyDescent="0.3">
      <c r="G100" s="5"/>
    </row>
    <row r="101" spans="7:7" x14ac:dyDescent="0.3">
      <c r="G101" s="5"/>
    </row>
    <row r="102" spans="7:7" x14ac:dyDescent="0.3">
      <c r="G102" s="5"/>
    </row>
    <row r="103" spans="7:7" x14ac:dyDescent="0.3">
      <c r="G103" s="5"/>
    </row>
    <row r="104" spans="7:7" x14ac:dyDescent="0.3">
      <c r="G104" s="5"/>
    </row>
    <row r="105" spans="7:7" x14ac:dyDescent="0.3">
      <c r="G105" s="5"/>
    </row>
    <row r="106" spans="7:7" x14ac:dyDescent="0.3">
      <c r="G106" s="5"/>
    </row>
    <row r="107" spans="7:7" x14ac:dyDescent="0.3">
      <c r="G107" s="5"/>
    </row>
  </sheetData>
  <mergeCells count="57">
    <mergeCell ref="B2:C2"/>
    <mergeCell ref="B21:C21"/>
    <mergeCell ref="B65:C66"/>
    <mergeCell ref="B72:B73"/>
    <mergeCell ref="G72:G73"/>
    <mergeCell ref="B70:B71"/>
    <mergeCell ref="G70:G71"/>
    <mergeCell ref="B60:B61"/>
    <mergeCell ref="G60:G61"/>
    <mergeCell ref="B62:B63"/>
    <mergeCell ref="B68:B69"/>
    <mergeCell ref="G68:G69"/>
    <mergeCell ref="B34:B36"/>
    <mergeCell ref="B55:B57"/>
    <mergeCell ref="G55:G57"/>
    <mergeCell ref="G58:G59"/>
    <mergeCell ref="B37:B39"/>
    <mergeCell ref="B40:B42"/>
    <mergeCell ref="B43:B45"/>
    <mergeCell ref="G43:G45"/>
    <mergeCell ref="B46:B48"/>
    <mergeCell ref="G46:G48"/>
    <mergeCell ref="D65:D66"/>
    <mergeCell ref="G65:G66"/>
    <mergeCell ref="E66:F66"/>
    <mergeCell ref="B26:B29"/>
    <mergeCell ref="B30:B31"/>
    <mergeCell ref="G30:G31"/>
    <mergeCell ref="B32:B33"/>
    <mergeCell ref="G32:G33"/>
    <mergeCell ref="G62:G63"/>
    <mergeCell ref="B49:B50"/>
    <mergeCell ref="G49:G50"/>
    <mergeCell ref="B51:B52"/>
    <mergeCell ref="G51:G52"/>
    <mergeCell ref="B53:B54"/>
    <mergeCell ref="G53:G54"/>
    <mergeCell ref="B58:B59"/>
    <mergeCell ref="B23:B25"/>
    <mergeCell ref="B4:B6"/>
    <mergeCell ref="G4:G6"/>
    <mergeCell ref="B7:B8"/>
    <mergeCell ref="G7:G8"/>
    <mergeCell ref="B9:B10"/>
    <mergeCell ref="G9:G10"/>
    <mergeCell ref="B11:B12"/>
    <mergeCell ref="G11:G12"/>
    <mergeCell ref="B13:B17"/>
    <mergeCell ref="G13:G17"/>
    <mergeCell ref="B18:B19"/>
    <mergeCell ref="G18:G19"/>
    <mergeCell ref="C74:C75"/>
    <mergeCell ref="G74:G75"/>
    <mergeCell ref="B74:B75"/>
    <mergeCell ref="B76:B77"/>
    <mergeCell ref="C76:C77"/>
    <mergeCell ref="G76:G77"/>
  </mergeCells>
  <phoneticPr fontId="2" type="noConversion"/>
  <pageMargins left="0.25" right="0.25" top="0.75" bottom="0.75" header="0.3" footer="0.3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17"/>
  <sheetViews>
    <sheetView zoomScale="87" zoomScaleNormal="87" workbookViewId="0">
      <selection activeCell="I16" sqref="I16"/>
    </sheetView>
  </sheetViews>
  <sheetFormatPr defaultRowHeight="16.5" x14ac:dyDescent="0.3"/>
  <cols>
    <col min="2" max="2" width="67" style="3" customWidth="1"/>
    <col min="3" max="3" width="14.5" style="2" bestFit="1" customWidth="1"/>
    <col min="4" max="4" width="14.625" style="2" bestFit="1" customWidth="1"/>
    <col min="5" max="5" width="21" style="2" bestFit="1" customWidth="1"/>
    <col min="6" max="6" width="17.125" style="2" bestFit="1" customWidth="1"/>
    <col min="7" max="7" width="9.5" style="6" bestFit="1" customWidth="1"/>
    <col min="10" max="10" width="10.125" bestFit="1" customWidth="1"/>
  </cols>
  <sheetData>
    <row r="1" spans="2:7" x14ac:dyDescent="0.3">
      <c r="G1" s="16"/>
    </row>
    <row r="2" spans="2:7" ht="49.5" x14ac:dyDescent="0.3">
      <c r="B2" s="18" t="s">
        <v>220</v>
      </c>
      <c r="C2" s="19" t="s">
        <v>0</v>
      </c>
      <c r="D2" s="19" t="s">
        <v>212</v>
      </c>
      <c r="E2" s="20" t="s">
        <v>219</v>
      </c>
      <c r="F2" s="21" t="s">
        <v>218</v>
      </c>
      <c r="G2" s="22" t="s">
        <v>77</v>
      </c>
    </row>
    <row r="3" spans="2:7" x14ac:dyDescent="0.3">
      <c r="B3" s="119" t="s">
        <v>79</v>
      </c>
      <c r="C3" s="119"/>
      <c r="D3" s="119"/>
      <c r="E3" s="119"/>
      <c r="F3" s="119"/>
      <c r="G3" s="119"/>
    </row>
    <row r="4" spans="2:7" ht="17.25" customHeight="1" x14ac:dyDescent="0.3">
      <c r="B4" s="120" t="s">
        <v>223</v>
      </c>
      <c r="C4" s="23" t="s">
        <v>1</v>
      </c>
      <c r="D4" s="19" t="s">
        <v>2</v>
      </c>
      <c r="E4" s="24" t="s">
        <v>84</v>
      </c>
      <c r="F4" s="25" t="s">
        <v>85</v>
      </c>
      <c r="G4" s="123" t="s">
        <v>239</v>
      </c>
    </row>
    <row r="5" spans="2:7" x14ac:dyDescent="0.3">
      <c r="B5" s="120"/>
      <c r="C5" s="19" t="s">
        <v>3</v>
      </c>
      <c r="D5" s="19" t="s">
        <v>4</v>
      </c>
      <c r="E5" s="24" t="s">
        <v>86</v>
      </c>
      <c r="F5" s="25" t="s">
        <v>87</v>
      </c>
      <c r="G5" s="123"/>
    </row>
    <row r="6" spans="2:7" x14ac:dyDescent="0.3">
      <c r="B6" s="121"/>
      <c r="C6" s="20" t="s">
        <v>5</v>
      </c>
      <c r="D6" s="26" t="s">
        <v>6</v>
      </c>
      <c r="E6" s="24" t="s">
        <v>88</v>
      </c>
      <c r="F6" s="25" t="s">
        <v>89</v>
      </c>
      <c r="G6" s="123"/>
    </row>
    <row r="7" spans="2:7" ht="19.5" customHeight="1" x14ac:dyDescent="0.3">
      <c r="B7" s="122" t="s">
        <v>224</v>
      </c>
      <c r="C7" s="27" t="s">
        <v>78</v>
      </c>
      <c r="D7" s="26" t="s">
        <v>7</v>
      </c>
      <c r="E7" s="24" t="s">
        <v>90</v>
      </c>
      <c r="F7" s="25" t="s">
        <v>91</v>
      </c>
      <c r="G7" s="123" t="s">
        <v>241</v>
      </c>
    </row>
    <row r="8" spans="2:7" ht="17.25" customHeight="1" x14ac:dyDescent="0.3">
      <c r="B8" s="122"/>
      <c r="C8" s="27" t="s">
        <v>8</v>
      </c>
      <c r="D8" s="26" t="s">
        <v>9</v>
      </c>
      <c r="E8" s="24" t="s">
        <v>92</v>
      </c>
      <c r="F8" s="25" t="s">
        <v>93</v>
      </c>
      <c r="G8" s="123"/>
    </row>
    <row r="9" spans="2:7" x14ac:dyDescent="0.3">
      <c r="B9" s="117" t="s">
        <v>225</v>
      </c>
      <c r="C9" s="27" t="s">
        <v>10</v>
      </c>
      <c r="D9" s="26" t="s">
        <v>83</v>
      </c>
      <c r="E9" s="24" t="s">
        <v>94</v>
      </c>
      <c r="F9" s="25" t="s">
        <v>95</v>
      </c>
      <c r="G9" s="124">
        <v>0.64200000000000002</v>
      </c>
    </row>
    <row r="10" spans="2:7" x14ac:dyDescent="0.3">
      <c r="B10" s="117"/>
      <c r="C10" s="27" t="s">
        <v>81</v>
      </c>
      <c r="D10" s="26" t="s">
        <v>82</v>
      </c>
      <c r="E10" s="24" t="s">
        <v>96</v>
      </c>
      <c r="F10" s="25" t="s">
        <v>97</v>
      </c>
      <c r="G10" s="124"/>
    </row>
    <row r="11" spans="2:7" ht="29.25" customHeight="1" x14ac:dyDescent="0.3">
      <c r="B11" s="117" t="s">
        <v>226</v>
      </c>
      <c r="C11" s="27" t="s">
        <v>11</v>
      </c>
      <c r="D11" s="23" t="s">
        <v>12</v>
      </c>
      <c r="E11" s="24" t="s">
        <v>100</v>
      </c>
      <c r="F11" s="25" t="s">
        <v>101</v>
      </c>
      <c r="G11" s="124">
        <v>0.747</v>
      </c>
    </row>
    <row r="12" spans="2:7" ht="29.25" customHeight="1" x14ac:dyDescent="0.3">
      <c r="B12" s="117"/>
      <c r="C12" s="27" t="s">
        <v>13</v>
      </c>
      <c r="D12" s="19" t="s">
        <v>14</v>
      </c>
      <c r="E12" s="24" t="s">
        <v>98</v>
      </c>
      <c r="F12" s="25" t="s">
        <v>99</v>
      </c>
      <c r="G12" s="124"/>
    </row>
    <row r="13" spans="2:7" x14ac:dyDescent="0.3">
      <c r="B13" s="117" t="s">
        <v>211</v>
      </c>
      <c r="C13" s="27" t="s">
        <v>15</v>
      </c>
      <c r="D13" s="19" t="s">
        <v>16</v>
      </c>
      <c r="E13" s="24" t="s">
        <v>102</v>
      </c>
      <c r="F13" s="25" t="s">
        <v>103</v>
      </c>
      <c r="G13" s="124">
        <v>0.88070000000000004</v>
      </c>
    </row>
    <row r="14" spans="2:7" x14ac:dyDescent="0.3">
      <c r="B14" s="117"/>
      <c r="C14" s="27" t="s">
        <v>17</v>
      </c>
      <c r="D14" s="19" t="s">
        <v>18</v>
      </c>
      <c r="E14" s="24" t="s">
        <v>104</v>
      </c>
      <c r="F14" s="25" t="s">
        <v>105</v>
      </c>
      <c r="G14" s="124"/>
    </row>
    <row r="15" spans="2:7" x14ac:dyDescent="0.3">
      <c r="B15" s="117"/>
      <c r="C15" s="27" t="s">
        <v>19</v>
      </c>
      <c r="D15" s="19" t="s">
        <v>20</v>
      </c>
      <c r="E15" s="24" t="s">
        <v>106</v>
      </c>
      <c r="F15" s="25" t="s">
        <v>107</v>
      </c>
      <c r="G15" s="124"/>
    </row>
    <row r="16" spans="2:7" x14ac:dyDescent="0.3">
      <c r="B16" s="117"/>
      <c r="C16" s="27" t="s">
        <v>21</v>
      </c>
      <c r="D16" s="28" t="s">
        <v>22</v>
      </c>
      <c r="E16" s="24" t="s">
        <v>108</v>
      </c>
      <c r="F16" s="25" t="s">
        <v>109</v>
      </c>
      <c r="G16" s="124"/>
    </row>
    <row r="17" spans="2:7" x14ac:dyDescent="0.3">
      <c r="B17" s="117"/>
      <c r="C17" s="27" t="s">
        <v>23</v>
      </c>
      <c r="D17" s="19" t="s">
        <v>24</v>
      </c>
      <c r="E17" s="24" t="s">
        <v>110</v>
      </c>
      <c r="F17" s="25" t="s">
        <v>111</v>
      </c>
      <c r="G17" s="124"/>
    </row>
    <row r="18" spans="2:7" ht="31.5" customHeight="1" x14ac:dyDescent="0.3">
      <c r="B18" s="118" t="s">
        <v>227</v>
      </c>
      <c r="C18" s="20" t="s">
        <v>25</v>
      </c>
      <c r="D18" s="19" t="s">
        <v>26</v>
      </c>
      <c r="E18" s="24" t="s">
        <v>115</v>
      </c>
      <c r="F18" s="25" t="s">
        <v>112</v>
      </c>
      <c r="G18" s="128" t="s">
        <v>240</v>
      </c>
    </row>
    <row r="19" spans="2:7" ht="31.5" customHeight="1" x14ac:dyDescent="0.3">
      <c r="B19" s="118"/>
      <c r="C19" s="20" t="s">
        <v>27</v>
      </c>
      <c r="D19" s="19" t="s">
        <v>28</v>
      </c>
      <c r="E19" s="24" t="s">
        <v>113</v>
      </c>
      <c r="F19" s="25" t="s">
        <v>114</v>
      </c>
      <c r="G19" s="128"/>
    </row>
    <row r="20" spans="2:7" x14ac:dyDescent="0.3">
      <c r="B20" s="134" t="s">
        <v>221</v>
      </c>
      <c r="C20" s="135"/>
      <c r="D20" s="135"/>
      <c r="E20" s="135"/>
      <c r="F20" s="135"/>
      <c r="G20" s="136"/>
    </row>
    <row r="21" spans="2:7" x14ac:dyDescent="0.3">
      <c r="B21" s="125" t="s">
        <v>238</v>
      </c>
      <c r="C21" s="20" t="s">
        <v>31</v>
      </c>
      <c r="D21" s="29" t="s">
        <v>32</v>
      </c>
      <c r="E21" s="24" t="s">
        <v>130</v>
      </c>
      <c r="F21" s="25" t="s">
        <v>131</v>
      </c>
      <c r="G21" s="137">
        <v>0.48499999999999999</v>
      </c>
    </row>
    <row r="22" spans="2:7" x14ac:dyDescent="0.3">
      <c r="B22" s="126"/>
      <c r="C22" s="19" t="s">
        <v>33</v>
      </c>
      <c r="D22" s="29" t="s">
        <v>34</v>
      </c>
      <c r="E22" s="24" t="s">
        <v>132</v>
      </c>
      <c r="F22" s="25" t="s">
        <v>133</v>
      </c>
      <c r="G22" s="138"/>
    </row>
    <row r="23" spans="2:7" x14ac:dyDescent="0.3">
      <c r="B23" s="117" t="s">
        <v>213</v>
      </c>
      <c r="C23" s="20" t="s">
        <v>35</v>
      </c>
      <c r="D23" s="24" t="s">
        <v>80</v>
      </c>
      <c r="E23" s="19" t="s">
        <v>190</v>
      </c>
      <c r="F23" s="30" t="s">
        <v>191</v>
      </c>
      <c r="G23" s="137" t="s">
        <v>201</v>
      </c>
    </row>
    <row r="24" spans="2:7" x14ac:dyDescent="0.3">
      <c r="B24" s="127"/>
      <c r="C24" s="20" t="s">
        <v>206</v>
      </c>
      <c r="D24" s="24" t="s">
        <v>203</v>
      </c>
      <c r="E24" s="19" t="s">
        <v>204</v>
      </c>
      <c r="F24" s="30" t="s">
        <v>205</v>
      </c>
      <c r="G24" s="138"/>
    </row>
    <row r="25" spans="2:7" hidden="1" x14ac:dyDescent="0.3">
      <c r="B25" s="117" t="s">
        <v>36</v>
      </c>
      <c r="C25" s="20" t="s">
        <v>25</v>
      </c>
      <c r="D25" s="29" t="s">
        <v>37</v>
      </c>
      <c r="E25" s="24" t="s">
        <v>140</v>
      </c>
      <c r="F25" s="25" t="s">
        <v>141</v>
      </c>
      <c r="G25" s="31"/>
    </row>
    <row r="26" spans="2:7" hidden="1" x14ac:dyDescent="0.3">
      <c r="B26" s="117"/>
      <c r="C26" s="20" t="s">
        <v>27</v>
      </c>
      <c r="D26" s="29" t="s">
        <v>38</v>
      </c>
      <c r="E26" s="24" t="s">
        <v>142</v>
      </c>
      <c r="F26" s="25" t="s">
        <v>143</v>
      </c>
      <c r="G26" s="31"/>
    </row>
    <row r="27" spans="2:7" hidden="1" x14ac:dyDescent="0.3">
      <c r="B27" s="117"/>
      <c r="C27" s="20" t="s">
        <v>39</v>
      </c>
      <c r="D27" s="29" t="s">
        <v>40</v>
      </c>
      <c r="E27" s="24" t="s">
        <v>138</v>
      </c>
      <c r="F27" s="25" t="s">
        <v>139</v>
      </c>
      <c r="G27" s="31"/>
    </row>
    <row r="28" spans="2:7" hidden="1" x14ac:dyDescent="0.3">
      <c r="B28" s="117" t="s">
        <v>41</v>
      </c>
      <c r="C28" s="20" t="s">
        <v>25</v>
      </c>
      <c r="D28" s="24" t="s">
        <v>42</v>
      </c>
      <c r="E28" s="24" t="s">
        <v>134</v>
      </c>
      <c r="F28" s="25" t="s">
        <v>135</v>
      </c>
      <c r="G28" s="31"/>
    </row>
    <row r="29" spans="2:7" hidden="1" x14ac:dyDescent="0.3">
      <c r="B29" s="117"/>
      <c r="C29" s="20" t="s">
        <v>27</v>
      </c>
      <c r="D29" s="24" t="s">
        <v>43</v>
      </c>
      <c r="E29" s="24" t="s">
        <v>136</v>
      </c>
      <c r="F29" s="25" t="s">
        <v>137</v>
      </c>
      <c r="G29" s="31"/>
    </row>
    <row r="30" spans="2:7" hidden="1" x14ac:dyDescent="0.3">
      <c r="B30" s="117"/>
      <c r="C30" s="20" t="s">
        <v>39</v>
      </c>
      <c r="D30" s="24" t="s">
        <v>44</v>
      </c>
      <c r="E30" s="24" t="s">
        <v>138</v>
      </c>
      <c r="F30" s="25" t="s">
        <v>139</v>
      </c>
      <c r="G30" s="31"/>
    </row>
    <row r="31" spans="2:7" hidden="1" x14ac:dyDescent="0.3">
      <c r="B31" s="117" t="s">
        <v>45</v>
      </c>
      <c r="C31" s="20" t="s">
        <v>25</v>
      </c>
      <c r="D31" s="24" t="s">
        <v>46</v>
      </c>
      <c r="E31" s="24" t="s">
        <v>144</v>
      </c>
      <c r="F31" s="25" t="s">
        <v>145</v>
      </c>
      <c r="G31" s="31"/>
    </row>
    <row r="32" spans="2:7" hidden="1" x14ac:dyDescent="0.3">
      <c r="B32" s="117"/>
      <c r="C32" s="20" t="s">
        <v>27</v>
      </c>
      <c r="D32" s="24" t="s">
        <v>47</v>
      </c>
      <c r="E32" s="24" t="s">
        <v>146</v>
      </c>
      <c r="F32" s="25" t="s">
        <v>147</v>
      </c>
      <c r="G32" s="31"/>
    </row>
    <row r="33" spans="2:7" hidden="1" x14ac:dyDescent="0.3">
      <c r="B33" s="117"/>
      <c r="C33" s="20" t="s">
        <v>39</v>
      </c>
      <c r="D33" s="24" t="s">
        <v>44</v>
      </c>
      <c r="E33" s="24" t="s">
        <v>138</v>
      </c>
      <c r="F33" s="25" t="s">
        <v>139</v>
      </c>
      <c r="G33" s="31"/>
    </row>
    <row r="34" spans="2:7" x14ac:dyDescent="0.3">
      <c r="B34" s="117" t="s">
        <v>228</v>
      </c>
      <c r="C34" s="20" t="s">
        <v>25</v>
      </c>
      <c r="D34" s="24" t="s">
        <v>48</v>
      </c>
      <c r="E34" s="24" t="s">
        <v>151</v>
      </c>
      <c r="F34" s="25" t="s">
        <v>148</v>
      </c>
      <c r="G34" s="137" t="s">
        <v>202</v>
      </c>
    </row>
    <row r="35" spans="2:7" x14ac:dyDescent="0.3">
      <c r="B35" s="117"/>
      <c r="C35" s="20" t="s">
        <v>27</v>
      </c>
      <c r="D35" s="24" t="s">
        <v>49</v>
      </c>
      <c r="E35" s="24" t="s">
        <v>149</v>
      </c>
      <c r="F35" s="25" t="s">
        <v>150</v>
      </c>
      <c r="G35" s="139"/>
    </row>
    <row r="36" spans="2:7" x14ac:dyDescent="0.3">
      <c r="B36" s="117"/>
      <c r="C36" s="20" t="s">
        <v>217</v>
      </c>
      <c r="D36" s="24" t="s">
        <v>44</v>
      </c>
      <c r="E36" s="24" t="s">
        <v>138</v>
      </c>
      <c r="F36" s="25" t="s">
        <v>139</v>
      </c>
      <c r="G36" s="138"/>
    </row>
    <row r="37" spans="2:7" x14ac:dyDescent="0.3">
      <c r="B37" s="117" t="s">
        <v>229</v>
      </c>
      <c r="C37" s="20" t="s">
        <v>25</v>
      </c>
      <c r="D37" s="24" t="s">
        <v>50</v>
      </c>
      <c r="E37" s="24" t="s">
        <v>152</v>
      </c>
      <c r="F37" s="25" t="s">
        <v>153</v>
      </c>
      <c r="G37" s="137" t="s">
        <v>202</v>
      </c>
    </row>
    <row r="38" spans="2:7" x14ac:dyDescent="0.3">
      <c r="B38" s="117"/>
      <c r="C38" s="20" t="s">
        <v>27</v>
      </c>
      <c r="D38" s="24" t="s">
        <v>51</v>
      </c>
      <c r="E38" s="24" t="s">
        <v>154</v>
      </c>
      <c r="F38" s="25" t="s">
        <v>155</v>
      </c>
      <c r="G38" s="139"/>
    </row>
    <row r="39" spans="2:7" x14ac:dyDescent="0.3">
      <c r="B39" s="117"/>
      <c r="C39" s="20" t="s">
        <v>216</v>
      </c>
      <c r="D39" s="24" t="s">
        <v>52</v>
      </c>
      <c r="E39" s="24" t="s">
        <v>156</v>
      </c>
      <c r="F39" s="25" t="s">
        <v>157</v>
      </c>
      <c r="G39" s="138"/>
    </row>
    <row r="40" spans="2:7" x14ac:dyDescent="0.3">
      <c r="B40" s="117" t="s">
        <v>230</v>
      </c>
      <c r="C40" s="20" t="s">
        <v>25</v>
      </c>
      <c r="D40" s="24" t="s">
        <v>53</v>
      </c>
      <c r="E40" s="24" t="s">
        <v>158</v>
      </c>
      <c r="F40" s="25" t="s">
        <v>159</v>
      </c>
      <c r="G40" s="137">
        <v>0.93530000000000002</v>
      </c>
    </row>
    <row r="41" spans="2:7" x14ac:dyDescent="0.3">
      <c r="B41" s="117"/>
      <c r="C41" s="20" t="s">
        <v>27</v>
      </c>
      <c r="D41" s="24" t="s">
        <v>54</v>
      </c>
      <c r="E41" s="24" t="s">
        <v>160</v>
      </c>
      <c r="F41" s="25" t="s">
        <v>161</v>
      </c>
      <c r="G41" s="138"/>
    </row>
    <row r="42" spans="2:7" x14ac:dyDescent="0.3">
      <c r="B42" s="117" t="s">
        <v>231</v>
      </c>
      <c r="C42" s="20" t="s">
        <v>25</v>
      </c>
      <c r="D42" s="24" t="s">
        <v>55</v>
      </c>
      <c r="E42" s="24" t="s">
        <v>162</v>
      </c>
      <c r="F42" s="25" t="s">
        <v>163</v>
      </c>
      <c r="G42" s="137">
        <v>0.54059999999999997</v>
      </c>
    </row>
    <row r="43" spans="2:7" x14ac:dyDescent="0.3">
      <c r="B43" s="117"/>
      <c r="C43" s="20" t="s">
        <v>27</v>
      </c>
      <c r="D43" s="24" t="s">
        <v>56</v>
      </c>
      <c r="E43" s="24" t="s">
        <v>164</v>
      </c>
      <c r="F43" s="25" t="s">
        <v>165</v>
      </c>
      <c r="G43" s="138"/>
    </row>
    <row r="44" spans="2:7" x14ac:dyDescent="0.3">
      <c r="B44" s="129" t="s">
        <v>214</v>
      </c>
      <c r="C44" s="20" t="s">
        <v>25</v>
      </c>
      <c r="D44" s="24" t="s">
        <v>57</v>
      </c>
      <c r="E44" s="24" t="s">
        <v>166</v>
      </c>
      <c r="F44" s="25" t="s">
        <v>167</v>
      </c>
      <c r="G44" s="137">
        <v>0.53439999999999999</v>
      </c>
    </row>
    <row r="45" spans="2:7" x14ac:dyDescent="0.3">
      <c r="B45" s="129"/>
      <c r="C45" s="20" t="s">
        <v>27</v>
      </c>
      <c r="D45" s="24" t="s">
        <v>58</v>
      </c>
      <c r="E45" s="24" t="s">
        <v>168</v>
      </c>
      <c r="F45" s="25" t="s">
        <v>169</v>
      </c>
      <c r="G45" s="138"/>
    </row>
    <row r="46" spans="2:7" x14ac:dyDescent="0.3">
      <c r="B46" s="125" t="s">
        <v>215</v>
      </c>
      <c r="C46" s="20" t="s">
        <v>59</v>
      </c>
      <c r="D46" s="19" t="s">
        <v>60</v>
      </c>
      <c r="E46" s="24" t="s">
        <v>175</v>
      </c>
      <c r="F46" s="25" t="s">
        <v>170</v>
      </c>
      <c r="G46" s="137">
        <v>0.30599999999999999</v>
      </c>
    </row>
    <row r="47" spans="2:7" x14ac:dyDescent="0.3">
      <c r="B47" s="130"/>
      <c r="C47" s="20" t="s">
        <v>61</v>
      </c>
      <c r="D47" s="19" t="s">
        <v>62</v>
      </c>
      <c r="E47" s="24" t="s">
        <v>171</v>
      </c>
      <c r="F47" s="25" t="s">
        <v>172</v>
      </c>
      <c r="G47" s="139"/>
    </row>
    <row r="48" spans="2:7" x14ac:dyDescent="0.3">
      <c r="B48" s="131"/>
      <c r="C48" s="20" t="s">
        <v>63</v>
      </c>
      <c r="D48" s="19" t="s">
        <v>64</v>
      </c>
      <c r="E48" s="24" t="s">
        <v>173</v>
      </c>
      <c r="F48" s="25" t="s">
        <v>174</v>
      </c>
      <c r="G48" s="138"/>
    </row>
    <row r="49" spans="2:7" ht="16.5" customHeight="1" x14ac:dyDescent="0.3">
      <c r="B49" s="125" t="s">
        <v>232</v>
      </c>
      <c r="C49" s="20" t="s">
        <v>65</v>
      </c>
      <c r="D49" s="19" t="s">
        <v>66</v>
      </c>
      <c r="E49" s="24" t="s">
        <v>176</v>
      </c>
      <c r="F49" s="25" t="s">
        <v>177</v>
      </c>
      <c r="G49" s="140">
        <v>0.68200000000000005</v>
      </c>
    </row>
    <row r="50" spans="2:7" x14ac:dyDescent="0.3">
      <c r="B50" s="131"/>
      <c r="C50" s="20" t="s">
        <v>67</v>
      </c>
      <c r="D50" s="19" t="s">
        <v>68</v>
      </c>
      <c r="E50" s="24" t="s">
        <v>178</v>
      </c>
      <c r="F50" s="25" t="s">
        <v>179</v>
      </c>
      <c r="G50" s="141"/>
    </row>
    <row r="51" spans="2:7" x14ac:dyDescent="0.3">
      <c r="B51" s="129" t="s">
        <v>233</v>
      </c>
      <c r="C51" s="20" t="s">
        <v>25</v>
      </c>
      <c r="D51" s="24" t="s">
        <v>69</v>
      </c>
      <c r="E51" s="19" t="s">
        <v>180</v>
      </c>
      <c r="F51" s="30" t="s">
        <v>181</v>
      </c>
      <c r="G51" s="137">
        <v>0.93110000000000004</v>
      </c>
    </row>
    <row r="52" spans="2:7" x14ac:dyDescent="0.3">
      <c r="B52" s="129"/>
      <c r="C52" s="20" t="s">
        <v>27</v>
      </c>
      <c r="D52" s="24" t="s">
        <v>70</v>
      </c>
      <c r="E52" s="19" t="s">
        <v>182</v>
      </c>
      <c r="F52" s="30" t="s">
        <v>183</v>
      </c>
      <c r="G52" s="138"/>
    </row>
    <row r="53" spans="2:7" x14ac:dyDescent="0.3">
      <c r="B53" s="129" t="s">
        <v>234</v>
      </c>
      <c r="C53" s="20" t="s">
        <v>71</v>
      </c>
      <c r="D53" s="24" t="s">
        <v>72</v>
      </c>
      <c r="E53" s="19" t="s">
        <v>184</v>
      </c>
      <c r="F53" s="30" t="s">
        <v>185</v>
      </c>
      <c r="G53" s="137">
        <v>0.316</v>
      </c>
    </row>
    <row r="54" spans="2:7" x14ac:dyDescent="0.3">
      <c r="B54" s="129"/>
      <c r="C54" s="20" t="s">
        <v>189</v>
      </c>
      <c r="D54" s="24" t="s">
        <v>188</v>
      </c>
      <c r="E54" s="24" t="s">
        <v>186</v>
      </c>
      <c r="F54" s="25" t="s">
        <v>187</v>
      </c>
      <c r="G54" s="138"/>
    </row>
    <row r="55" spans="2:7" x14ac:dyDescent="0.3">
      <c r="B55" s="119" t="s">
        <v>222</v>
      </c>
      <c r="C55" s="119"/>
      <c r="D55" s="119"/>
      <c r="E55" s="119"/>
      <c r="F55" s="119"/>
      <c r="G55" s="119"/>
    </row>
    <row r="56" spans="2:7" x14ac:dyDescent="0.3">
      <c r="B56" s="132" t="s">
        <v>235</v>
      </c>
      <c r="C56" s="20" t="s">
        <v>25</v>
      </c>
      <c r="D56" s="24" t="s">
        <v>50</v>
      </c>
      <c r="E56" s="24" t="s">
        <v>192</v>
      </c>
      <c r="F56" s="25" t="s">
        <v>193</v>
      </c>
      <c r="G56" s="128" t="s">
        <v>202</v>
      </c>
    </row>
    <row r="57" spans="2:7" x14ac:dyDescent="0.3">
      <c r="B57" s="133"/>
      <c r="C57" s="20" t="s">
        <v>27</v>
      </c>
      <c r="D57" s="24" t="s">
        <v>200</v>
      </c>
      <c r="E57" s="24" t="s">
        <v>194</v>
      </c>
      <c r="F57" s="25" t="s">
        <v>195</v>
      </c>
      <c r="G57" s="128"/>
    </row>
    <row r="58" spans="2:7" x14ac:dyDescent="0.3">
      <c r="B58" s="132" t="s">
        <v>236</v>
      </c>
      <c r="C58" s="20" t="s">
        <v>25</v>
      </c>
      <c r="D58" s="24" t="s">
        <v>76</v>
      </c>
      <c r="E58" s="24" t="s">
        <v>207</v>
      </c>
      <c r="F58" s="25" t="s">
        <v>208</v>
      </c>
      <c r="G58" s="128" t="s">
        <v>202</v>
      </c>
    </row>
    <row r="59" spans="2:7" x14ac:dyDescent="0.3">
      <c r="B59" s="133"/>
      <c r="C59" s="20" t="s">
        <v>27</v>
      </c>
      <c r="D59" s="24" t="s">
        <v>75</v>
      </c>
      <c r="E59" s="24" t="s">
        <v>209</v>
      </c>
      <c r="F59" s="25" t="s">
        <v>210</v>
      </c>
      <c r="G59" s="128"/>
    </row>
    <row r="60" spans="2:7" x14ac:dyDescent="0.3">
      <c r="B60" s="132" t="s">
        <v>237</v>
      </c>
      <c r="C60" s="20" t="s">
        <v>25</v>
      </c>
      <c r="D60" s="24" t="s">
        <v>73</v>
      </c>
      <c r="E60" s="24" t="s">
        <v>196</v>
      </c>
      <c r="F60" s="25" t="s">
        <v>197</v>
      </c>
      <c r="G60" s="137">
        <v>0.1336</v>
      </c>
    </row>
    <row r="61" spans="2:7" x14ac:dyDescent="0.3">
      <c r="B61" s="133"/>
      <c r="C61" s="20" t="s">
        <v>27</v>
      </c>
      <c r="D61" s="24" t="s">
        <v>74</v>
      </c>
      <c r="E61" s="24" t="s">
        <v>198</v>
      </c>
      <c r="F61" s="25" t="s">
        <v>199</v>
      </c>
      <c r="G61" s="138"/>
    </row>
    <row r="62" spans="2:7" x14ac:dyDescent="0.3">
      <c r="B62" s="117" t="s">
        <v>312</v>
      </c>
      <c r="C62" s="32">
        <v>0</v>
      </c>
      <c r="D62" s="33" t="s">
        <v>242</v>
      </c>
      <c r="E62" s="33" t="s">
        <v>247</v>
      </c>
      <c r="F62" s="33" t="s">
        <v>252</v>
      </c>
      <c r="G62" s="142" t="s">
        <v>313</v>
      </c>
    </row>
    <row r="63" spans="2:7" x14ac:dyDescent="0.3">
      <c r="B63" s="117"/>
      <c r="C63" s="32">
        <v>1</v>
      </c>
      <c r="D63" s="33" t="s">
        <v>243</v>
      </c>
      <c r="E63" s="33" t="s">
        <v>248</v>
      </c>
      <c r="F63" s="33" t="s">
        <v>253</v>
      </c>
      <c r="G63" s="143"/>
    </row>
    <row r="64" spans="2:7" x14ac:dyDescent="0.3">
      <c r="B64" s="117"/>
      <c r="C64" s="32">
        <v>2</v>
      </c>
      <c r="D64" s="33" t="s">
        <v>244</v>
      </c>
      <c r="E64" s="33" t="s">
        <v>249</v>
      </c>
      <c r="F64" s="33" t="s">
        <v>254</v>
      </c>
      <c r="G64" s="143"/>
    </row>
    <row r="65" spans="2:7" x14ac:dyDescent="0.3">
      <c r="B65" s="117"/>
      <c r="C65" s="32">
        <v>3</v>
      </c>
      <c r="D65" s="33" t="s">
        <v>245</v>
      </c>
      <c r="E65" s="33" t="s">
        <v>250</v>
      </c>
      <c r="F65" s="33" t="s">
        <v>255</v>
      </c>
      <c r="G65" s="143"/>
    </row>
    <row r="66" spans="2:7" x14ac:dyDescent="0.3">
      <c r="B66" s="117"/>
      <c r="C66" s="32">
        <v>4</v>
      </c>
      <c r="D66" s="33" t="s">
        <v>246</v>
      </c>
      <c r="E66" s="33" t="s">
        <v>251</v>
      </c>
      <c r="F66" s="33" t="s">
        <v>256</v>
      </c>
      <c r="G66" s="144"/>
    </row>
    <row r="67" spans="2:7" x14ac:dyDescent="0.3">
      <c r="B67" s="117" t="s">
        <v>314</v>
      </c>
      <c r="C67" s="32">
        <v>4</v>
      </c>
      <c r="D67" s="33" t="s">
        <v>257</v>
      </c>
      <c r="E67" s="33" t="s">
        <v>273</v>
      </c>
      <c r="F67" s="33" t="s">
        <v>293</v>
      </c>
      <c r="G67" s="145" t="s">
        <v>201</v>
      </c>
    </row>
    <row r="68" spans="2:7" x14ac:dyDescent="0.3">
      <c r="B68" s="117"/>
      <c r="C68" s="32">
        <v>9</v>
      </c>
      <c r="D68" s="33" t="s">
        <v>257</v>
      </c>
      <c r="E68" s="33" t="s">
        <v>273</v>
      </c>
      <c r="F68" s="33" t="s">
        <v>293</v>
      </c>
      <c r="G68" s="145"/>
    </row>
    <row r="69" spans="2:7" x14ac:dyDescent="0.3">
      <c r="B69" s="117"/>
      <c r="C69" s="32">
        <v>10</v>
      </c>
      <c r="D69" s="33" t="s">
        <v>258</v>
      </c>
      <c r="E69" s="33" t="s">
        <v>274</v>
      </c>
      <c r="F69" s="33" t="s">
        <v>274</v>
      </c>
      <c r="G69" s="145"/>
    </row>
    <row r="70" spans="2:7" x14ac:dyDescent="0.3">
      <c r="B70" s="117"/>
      <c r="C70" s="32">
        <v>12</v>
      </c>
      <c r="D70" s="33" t="s">
        <v>259</v>
      </c>
      <c r="E70" s="33" t="s">
        <v>275</v>
      </c>
      <c r="F70" s="33" t="s">
        <v>294</v>
      </c>
      <c r="G70" s="145"/>
    </row>
    <row r="71" spans="2:7" x14ac:dyDescent="0.3">
      <c r="B71" s="117"/>
      <c r="C71" s="32">
        <v>13</v>
      </c>
      <c r="D71" s="33" t="s">
        <v>258</v>
      </c>
      <c r="E71" s="33" t="s">
        <v>274</v>
      </c>
      <c r="F71" s="33" t="s">
        <v>274</v>
      </c>
      <c r="G71" s="145"/>
    </row>
    <row r="72" spans="2:7" x14ac:dyDescent="0.3">
      <c r="B72" s="117"/>
      <c r="C72" s="32">
        <v>14</v>
      </c>
      <c r="D72" s="33" t="s">
        <v>260</v>
      </c>
      <c r="E72" s="33" t="s">
        <v>276</v>
      </c>
      <c r="F72" s="33" t="s">
        <v>295</v>
      </c>
      <c r="G72" s="145"/>
    </row>
    <row r="73" spans="2:7" x14ac:dyDescent="0.3">
      <c r="B73" s="117"/>
      <c r="C73" s="32">
        <v>15</v>
      </c>
      <c r="D73" s="33" t="s">
        <v>261</v>
      </c>
      <c r="E73" s="33" t="s">
        <v>277</v>
      </c>
      <c r="F73" s="33" t="s">
        <v>296</v>
      </c>
      <c r="G73" s="145"/>
    </row>
    <row r="74" spans="2:7" x14ac:dyDescent="0.3">
      <c r="B74" s="117"/>
      <c r="C74" s="32">
        <v>16</v>
      </c>
      <c r="D74" s="33" t="s">
        <v>262</v>
      </c>
      <c r="E74" s="33" t="s">
        <v>278</v>
      </c>
      <c r="F74" s="33" t="s">
        <v>297</v>
      </c>
      <c r="G74" s="145"/>
    </row>
    <row r="75" spans="2:7" x14ac:dyDescent="0.3">
      <c r="B75" s="117"/>
      <c r="C75" s="32">
        <v>17</v>
      </c>
      <c r="D75" s="33" t="s">
        <v>260</v>
      </c>
      <c r="E75" s="33" t="s">
        <v>279</v>
      </c>
      <c r="F75" s="33" t="s">
        <v>298</v>
      </c>
      <c r="G75" s="145"/>
    </row>
    <row r="76" spans="2:7" x14ac:dyDescent="0.3">
      <c r="B76" s="117"/>
      <c r="C76" s="32">
        <v>18</v>
      </c>
      <c r="D76" s="33" t="s">
        <v>263</v>
      </c>
      <c r="E76" s="33" t="s">
        <v>280</v>
      </c>
      <c r="F76" s="33" t="s">
        <v>299</v>
      </c>
      <c r="G76" s="145"/>
    </row>
    <row r="77" spans="2:7" x14ac:dyDescent="0.3">
      <c r="B77" s="117"/>
      <c r="C77" s="32">
        <v>19</v>
      </c>
      <c r="D77" s="33" t="s">
        <v>261</v>
      </c>
      <c r="E77" s="33" t="s">
        <v>281</v>
      </c>
      <c r="F77" s="33" t="s">
        <v>300</v>
      </c>
      <c r="G77" s="145"/>
    </row>
    <row r="78" spans="2:7" x14ac:dyDescent="0.3">
      <c r="B78" s="117"/>
      <c r="C78" s="32">
        <v>20</v>
      </c>
      <c r="D78" s="33" t="s">
        <v>264</v>
      </c>
      <c r="E78" s="33" t="s">
        <v>282</v>
      </c>
      <c r="F78" s="33" t="s">
        <v>301</v>
      </c>
      <c r="G78" s="145"/>
    </row>
    <row r="79" spans="2:7" x14ac:dyDescent="0.3">
      <c r="B79" s="117"/>
      <c r="C79" s="32">
        <v>21</v>
      </c>
      <c r="D79" s="33" t="s">
        <v>265</v>
      </c>
      <c r="E79" s="33" t="s">
        <v>283</v>
      </c>
      <c r="F79" s="33" t="s">
        <v>302</v>
      </c>
      <c r="G79" s="145"/>
    </row>
    <row r="80" spans="2:7" x14ac:dyDescent="0.3">
      <c r="B80" s="117"/>
      <c r="C80" s="32">
        <v>22</v>
      </c>
      <c r="D80" s="33" t="s">
        <v>266</v>
      </c>
      <c r="E80" s="33" t="s">
        <v>284</v>
      </c>
      <c r="F80" s="33" t="s">
        <v>303</v>
      </c>
      <c r="G80" s="145"/>
    </row>
    <row r="81" spans="2:7" x14ac:dyDescent="0.3">
      <c r="B81" s="117"/>
      <c r="C81" s="32">
        <v>23</v>
      </c>
      <c r="D81" s="33" t="s">
        <v>267</v>
      </c>
      <c r="E81" s="33" t="s">
        <v>285</v>
      </c>
      <c r="F81" s="33" t="s">
        <v>304</v>
      </c>
      <c r="G81" s="145"/>
    </row>
    <row r="82" spans="2:7" x14ac:dyDescent="0.3">
      <c r="B82" s="117"/>
      <c r="C82" s="32">
        <v>24</v>
      </c>
      <c r="D82" s="33" t="s">
        <v>268</v>
      </c>
      <c r="E82" s="33" t="s">
        <v>286</v>
      </c>
      <c r="F82" s="33" t="s">
        <v>305</v>
      </c>
      <c r="G82" s="145"/>
    </row>
    <row r="83" spans="2:7" x14ac:dyDescent="0.3">
      <c r="B83" s="117"/>
      <c r="C83" s="32">
        <v>25</v>
      </c>
      <c r="D83" s="33" t="s">
        <v>269</v>
      </c>
      <c r="E83" s="33" t="s">
        <v>287</v>
      </c>
      <c r="F83" s="33" t="s">
        <v>306</v>
      </c>
      <c r="G83" s="145"/>
    </row>
    <row r="84" spans="2:7" x14ac:dyDescent="0.3">
      <c r="B84" s="117"/>
      <c r="C84" s="32">
        <v>26</v>
      </c>
      <c r="D84" s="33" t="s">
        <v>270</v>
      </c>
      <c r="E84" s="33" t="s">
        <v>288</v>
      </c>
      <c r="F84" s="33" t="s">
        <v>307</v>
      </c>
      <c r="G84" s="145"/>
    </row>
    <row r="85" spans="2:7" x14ac:dyDescent="0.3">
      <c r="B85" s="117"/>
      <c r="C85" s="32">
        <v>27</v>
      </c>
      <c r="D85" s="33" t="s">
        <v>242</v>
      </c>
      <c r="E85" s="33" t="s">
        <v>289</v>
      </c>
      <c r="F85" s="33" t="s">
        <v>308</v>
      </c>
      <c r="G85" s="145"/>
    </row>
    <row r="86" spans="2:7" x14ac:dyDescent="0.3">
      <c r="B86" s="117"/>
      <c r="C86" s="32">
        <v>28</v>
      </c>
      <c r="D86" s="33" t="s">
        <v>271</v>
      </c>
      <c r="E86" s="33" t="s">
        <v>290</v>
      </c>
      <c r="F86" s="33" t="s">
        <v>309</v>
      </c>
      <c r="G86" s="145"/>
    </row>
    <row r="87" spans="2:7" x14ac:dyDescent="0.3">
      <c r="B87" s="117"/>
      <c r="C87" s="32">
        <v>29</v>
      </c>
      <c r="D87" s="33" t="s">
        <v>272</v>
      </c>
      <c r="E87" s="33" t="s">
        <v>291</v>
      </c>
      <c r="F87" s="33" t="s">
        <v>310</v>
      </c>
      <c r="G87" s="145"/>
    </row>
    <row r="88" spans="2:7" ht="17.25" thickBot="1" x14ac:dyDescent="0.35">
      <c r="B88" s="117"/>
      <c r="C88" s="32">
        <v>30</v>
      </c>
      <c r="D88" s="33" t="s">
        <v>268</v>
      </c>
      <c r="E88" s="33" t="s">
        <v>292</v>
      </c>
      <c r="F88" s="33" t="s">
        <v>311</v>
      </c>
      <c r="G88" s="146"/>
    </row>
    <row r="89" spans="2:7" x14ac:dyDescent="0.3">
      <c r="G89" s="7"/>
    </row>
    <row r="90" spans="2:7" x14ac:dyDescent="0.3">
      <c r="G90" s="7"/>
    </row>
    <row r="91" spans="2:7" x14ac:dyDescent="0.3">
      <c r="G91" s="7"/>
    </row>
    <row r="92" spans="2:7" x14ac:dyDescent="0.3">
      <c r="G92" s="7"/>
    </row>
    <row r="93" spans="2:7" x14ac:dyDescent="0.3">
      <c r="G93" s="7"/>
    </row>
    <row r="94" spans="2:7" x14ac:dyDescent="0.3">
      <c r="G94" s="7"/>
    </row>
    <row r="95" spans="2:7" x14ac:dyDescent="0.3">
      <c r="G95" s="7"/>
    </row>
    <row r="96" spans="2:7" x14ac:dyDescent="0.3">
      <c r="G96" s="7"/>
    </row>
    <row r="97" spans="7:7" x14ac:dyDescent="0.3">
      <c r="G97" s="7"/>
    </row>
    <row r="98" spans="7:7" x14ac:dyDescent="0.3">
      <c r="G98" s="7"/>
    </row>
    <row r="99" spans="7:7" x14ac:dyDescent="0.3">
      <c r="G99" s="7"/>
    </row>
    <row r="100" spans="7:7" x14ac:dyDescent="0.3">
      <c r="G100" s="7"/>
    </row>
    <row r="101" spans="7:7" x14ac:dyDescent="0.3">
      <c r="G101" s="7"/>
    </row>
    <row r="102" spans="7:7" x14ac:dyDescent="0.3">
      <c r="G102" s="7"/>
    </row>
    <row r="103" spans="7:7" x14ac:dyDescent="0.3">
      <c r="G103" s="7"/>
    </row>
    <row r="104" spans="7:7" x14ac:dyDescent="0.3">
      <c r="G104" s="7"/>
    </row>
    <row r="105" spans="7:7" x14ac:dyDescent="0.3">
      <c r="G105" s="7"/>
    </row>
    <row r="106" spans="7:7" x14ac:dyDescent="0.3">
      <c r="G106" s="7"/>
    </row>
    <row r="107" spans="7:7" x14ac:dyDescent="0.3">
      <c r="G107" s="7"/>
    </row>
    <row r="108" spans="7:7" x14ac:dyDescent="0.3">
      <c r="G108" s="7"/>
    </row>
    <row r="109" spans="7:7" x14ac:dyDescent="0.3">
      <c r="G109" s="7"/>
    </row>
    <row r="110" spans="7:7" x14ac:dyDescent="0.3">
      <c r="G110" s="7"/>
    </row>
    <row r="111" spans="7:7" x14ac:dyDescent="0.3">
      <c r="G111" s="7"/>
    </row>
    <row r="112" spans="7:7" x14ac:dyDescent="0.3">
      <c r="G112" s="7"/>
    </row>
    <row r="113" spans="7:7" x14ac:dyDescent="0.3">
      <c r="G113" s="7"/>
    </row>
    <row r="114" spans="7:7" x14ac:dyDescent="0.3">
      <c r="G114" s="7"/>
    </row>
    <row r="115" spans="7:7" x14ac:dyDescent="0.3">
      <c r="G115" s="7"/>
    </row>
    <row r="116" spans="7:7" x14ac:dyDescent="0.3">
      <c r="G116" s="7"/>
    </row>
    <row r="117" spans="7:7" x14ac:dyDescent="0.3">
      <c r="G117" s="7"/>
    </row>
  </sheetData>
  <mergeCells count="50">
    <mergeCell ref="B62:B66"/>
    <mergeCell ref="G62:G66"/>
    <mergeCell ref="B67:B88"/>
    <mergeCell ref="G67:G88"/>
    <mergeCell ref="G60:G61"/>
    <mergeCell ref="B60:B61"/>
    <mergeCell ref="B20:G20"/>
    <mergeCell ref="G23:G24"/>
    <mergeCell ref="B55:G55"/>
    <mergeCell ref="G21:G22"/>
    <mergeCell ref="G34:G36"/>
    <mergeCell ref="G37:G39"/>
    <mergeCell ref="G40:G41"/>
    <mergeCell ref="G42:G43"/>
    <mergeCell ref="G44:G45"/>
    <mergeCell ref="G53:G54"/>
    <mergeCell ref="B25:B27"/>
    <mergeCell ref="B28:B30"/>
    <mergeCell ref="G46:G48"/>
    <mergeCell ref="G49:G50"/>
    <mergeCell ref="G51:G52"/>
    <mergeCell ref="B34:B36"/>
    <mergeCell ref="B58:B59"/>
    <mergeCell ref="G58:G59"/>
    <mergeCell ref="B56:B57"/>
    <mergeCell ref="G56:G57"/>
    <mergeCell ref="B49:B50"/>
    <mergeCell ref="B51:B52"/>
    <mergeCell ref="B53:B54"/>
    <mergeCell ref="B37:B39"/>
    <mergeCell ref="B40:B41"/>
    <mergeCell ref="B42:B43"/>
    <mergeCell ref="B44:B45"/>
    <mergeCell ref="B46:B48"/>
    <mergeCell ref="B31:B33"/>
    <mergeCell ref="B13:B17"/>
    <mergeCell ref="B18:B19"/>
    <mergeCell ref="B3:G3"/>
    <mergeCell ref="B4:B6"/>
    <mergeCell ref="B7:B8"/>
    <mergeCell ref="B9:B10"/>
    <mergeCell ref="B11:B12"/>
    <mergeCell ref="G4:G6"/>
    <mergeCell ref="G7:G8"/>
    <mergeCell ref="G9:G10"/>
    <mergeCell ref="G11:G12"/>
    <mergeCell ref="G13:G17"/>
    <mergeCell ref="B21:B22"/>
    <mergeCell ref="B23:B24"/>
    <mergeCell ref="G18:G19"/>
  </mergeCells>
  <phoneticPr fontId="2" type="noConversion"/>
  <conditionalFormatting sqref="G1:G1048576">
    <cfRule type="endsWith" dxfId="2" priority="1" operator="endsWith" text="***">
      <formula>RIGHT(G1,LEN("***"))="***"</formula>
    </cfRule>
    <cfRule type="endsWith" dxfId="1" priority="2" operator="endsWith" text="**">
      <formula>RIGHT(G1,LEN("**"))="**"</formula>
    </cfRule>
    <cfRule type="endsWith" dxfId="0" priority="3" operator="endsWith" text="*">
      <formula>RIGHT(G1,LEN("*"))="*"</formula>
    </cfRule>
  </conditionalFormatting>
  <pageMargins left="0.25" right="0.25" top="0.75" bottom="0.75" header="0.3" footer="0.3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Table1_ppt용</vt:lpstr>
      <vt:lpstr>Table1_시각화 분석용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asiae</cp:lastModifiedBy>
  <cp:lastPrinted>2025-12-19T07:57:10Z</cp:lastPrinted>
  <dcterms:created xsi:type="dcterms:W3CDTF">2025-12-18T06:08:24Z</dcterms:created>
  <dcterms:modified xsi:type="dcterms:W3CDTF">2025-12-24T04:12:27Z</dcterms:modified>
</cp:coreProperties>
</file>